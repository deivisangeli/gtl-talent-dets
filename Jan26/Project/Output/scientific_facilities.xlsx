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75be637e205a40/Documentos/Mestrado EESP/GTF/Project/Output/"/>
    </mc:Choice>
  </mc:AlternateContent>
  <xr:revisionPtr revIDLastSave="426" documentId="8_{DC267248-9F50-4177-BD29-1476F286C7EE}" xr6:coauthVersionLast="47" xr6:coauthVersionMax="47" xr10:uidLastSave="{65960D12-794B-402D-A8E0-27E1E61435F1}"/>
  <bookViews>
    <workbookView xWindow="-120" yWindow="-120" windowWidth="29040" windowHeight="15720" activeTab="2" xr2:uid="{130D258F-8A78-4EAB-976E-5425CC459EC1}"/>
  </bookViews>
  <sheets>
    <sheet name="selected" sheetId="2" r:id="rId1"/>
    <sheet name="full" sheetId="1" r:id="rId2"/>
    <sheet name="US" sheetId="3" r:id="rId3"/>
  </sheets>
  <definedNames>
    <definedName name="_xlnm._FilterDatabase" localSheetId="1" hidden="1">full!$B$2:$J$45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22" i="3"/>
  <c r="B20" i="3"/>
  <c r="B21" i="3" s="1"/>
  <c r="B23" i="3" s="1"/>
  <c r="B24" i="3" s="1"/>
  <c r="B25" i="3" s="1"/>
  <c r="B26" i="3" s="1"/>
  <c r="B27" i="3" s="1"/>
  <c r="B28" i="3" s="1"/>
  <c r="B29" i="3" s="1"/>
  <c r="B30" i="3" s="1"/>
  <c r="B31" i="3" s="1"/>
  <c r="B15" i="3"/>
  <c r="B16" i="3" s="1"/>
  <c r="B17" i="3" s="1"/>
  <c r="B18" i="3" s="1"/>
  <c r="B19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</calcChain>
</file>

<file path=xl/sharedStrings.xml><?xml version="1.0" encoding="utf-8"?>
<sst xmlns="http://schemas.openxmlformats.org/spreadsheetml/2006/main" count="710" uniqueCount="405">
  <si>
    <t>CERN Super Collider</t>
  </si>
  <si>
    <t>Meyrin, Switzerland</t>
  </si>
  <si>
    <t>Switzerland</t>
  </si>
  <si>
    <t>https://en.wikipedia.org/wiki/Large_Hadron_Collider</t>
  </si>
  <si>
    <t>National Ignition Facility</t>
  </si>
  <si>
    <t>California, US</t>
  </si>
  <si>
    <t>United States of America</t>
  </si>
  <si>
    <t>https://en.wikipedia.org/wiki/National_Ignition_Facility</t>
  </si>
  <si>
    <t>Spallation Neutron Source</t>
  </si>
  <si>
    <t>https://en.wikipedia.org/wiki/Spallation_Neutron_Source</t>
  </si>
  <si>
    <t>Very Large Array</t>
  </si>
  <si>
    <t>Socorro County, NM, US</t>
  </si>
  <si>
    <t>34°04?43?N 107°37?04?W</t>
  </si>
  <si>
    <t>34°04?43?N</t>
  </si>
  <si>
    <t>107°37?04?W</t>
  </si>
  <si>
    <t>https://en.wikipedia.org/wiki/Very_Large_Array</t>
  </si>
  <si>
    <t>International Space Station</t>
  </si>
  <si>
    <t xml:space="preserve">https://en.wikipedia.org/wiki/International_Space_Station </t>
  </si>
  <si>
    <t>ITER (International Thermonuclear Experimental Reactor)</t>
  </si>
  <si>
    <t>France</t>
  </si>
  <si>
    <t xml:space="preserve">https://en.wikipedia.org/wiki/ITER </t>
  </si>
  <si>
    <t>SLAC National Accelerator Laboratory</t>
  </si>
  <si>
    <t>Menlo Park, CA, US</t>
  </si>
  <si>
    <t>37°25?03?N 122°12?09?W</t>
  </si>
  <si>
    <t>37°25?03?N</t>
  </si>
  <si>
    <t>122°12?09?W</t>
  </si>
  <si>
    <t>https://en.wikipedia.org/wiki/SLAC_National_Accelerator_Laboratory</t>
  </si>
  <si>
    <t>Fermilab</t>
  </si>
  <si>
    <t>DuPage County, IL, US</t>
  </si>
  <si>
    <t>41°49?55?N 88°15?26?W</t>
  </si>
  <si>
    <t>41°49?55?N</t>
  </si>
  <si>
    <t>88°15?26?W</t>
  </si>
  <si>
    <t>https://en.wikipedia.org/wiki/Fermilab</t>
  </si>
  <si>
    <t>Jet Propulsion Laboratory (JPL)</t>
  </si>
  <si>
    <t>La Cañada Flintridge, CA, US</t>
  </si>
  <si>
    <t>34°12?00?N 118°10?18?W</t>
  </si>
  <si>
    <t>34°12?00?N</t>
  </si>
  <si>
    <t>118°10?18?W</t>
  </si>
  <si>
    <t>https://en.wikipedia.org/wiki/Jet_Propulsion_Laboratory</t>
  </si>
  <si>
    <t>Brookhaven National Laboratory</t>
  </si>
  <si>
    <t>Upton, NY, US</t>
  </si>
  <si>
    <t>40.875°N 72.877°W</t>
  </si>
  <si>
    <t>40.875°N</t>
  </si>
  <si>
    <t>72.877°W</t>
  </si>
  <si>
    <t>https://en.wikipedia.org/wiki/Brookhaven_National_Laboratory</t>
  </si>
  <si>
    <t>Mount Wilson Observatory</t>
  </si>
  <si>
    <t>Mount Wilson, CA, US</t>
  </si>
  <si>
    <t>34°13?30?N 118°03?26?W</t>
  </si>
  <si>
    <t>34°13?30?N</t>
  </si>
  <si>
    <t>118°03?26?W</t>
  </si>
  <si>
    <t>https://en.wikipedia.org/wiki/Mount_Wilson_Observatory</t>
  </si>
  <si>
    <t>Palomar observatory</t>
  </si>
  <si>
    <t>San Diego County, CA, US</t>
  </si>
  <si>
    <t>33°21?23?N 116°51?54?W</t>
  </si>
  <si>
    <t>33°21?23?N</t>
  </si>
  <si>
    <t>116°51?54?W</t>
  </si>
  <si>
    <t>https://en.wikipedia.org/wiki/Palomar_Observatory</t>
  </si>
  <si>
    <t>Arecibo observatory</t>
  </si>
  <si>
    <t>Arecibo, Puerto Rico</t>
  </si>
  <si>
    <t>Puerto Rico</t>
  </si>
  <si>
    <t>18°20?39?N 66°45?10?W</t>
  </si>
  <si>
    <t>18°20?39?N</t>
  </si>
  <si>
    <t>66°45?10?W</t>
  </si>
  <si>
    <t>https://en.wikipedia.org/wiki/Arecibo_Observatory</t>
  </si>
  <si>
    <t>Jodrell Bank Observatory</t>
  </si>
  <si>
    <t>Cheshire, England</t>
  </si>
  <si>
    <t>United Kingdom</t>
  </si>
  <si>
    <t>53°14?10?N 2°18?26?W</t>
  </si>
  <si>
    <t>53°14?10?N</t>
  </si>
  <si>
    <t>2°18?26?W</t>
  </si>
  <si>
    <t>https://en.wikipedia.org/wiki/Jodrell_Bank_Observatory</t>
  </si>
  <si>
    <t>Gran Sasso National Laboratory</t>
  </si>
  <si>
    <t>L'Aquila, Italy</t>
  </si>
  <si>
    <t>Italy</t>
  </si>
  <si>
    <t>42°25?16?N 13°30?59?E</t>
  </si>
  <si>
    <t>42°25?16?N</t>
  </si>
  <si>
    <t>13°30?59?E</t>
  </si>
  <si>
    <t>https://en.wikipedia.org/wiki/Laboratori_Nazionali_del_Gran_Sasso</t>
  </si>
  <si>
    <t>Institute for High Energy Physics</t>
  </si>
  <si>
    <t>Protvino, Russia</t>
  </si>
  <si>
    <t>Russia</t>
  </si>
  <si>
    <t>54.8678°N 37.2030°E</t>
  </si>
  <si>
    <t>54.8678°N</t>
  </si>
  <si>
    <t>37.2030°E</t>
  </si>
  <si>
    <t>https://en.wikipedia.org/wiki/Institute_for_High_Energy_Physics</t>
  </si>
  <si>
    <t>Baikonur Cosmodrome</t>
  </si>
  <si>
    <t>Baikonur, Russia</t>
  </si>
  <si>
    <t>45.965°N 63.305°E</t>
  </si>
  <si>
    <t>45.965°N</t>
  </si>
  <si>
    <t>63.305°E</t>
  </si>
  <si>
    <t>https://en.wikipedia.org/wiki/Baikonur_Cosmodrome</t>
  </si>
  <si>
    <t>Plesetsk Cosmodrome</t>
  </si>
  <si>
    <t>Mirny, Russia</t>
  </si>
  <si>
    <t>62°55?32?N 40°34?40?E</t>
  </si>
  <si>
    <t>62°55?32?N</t>
  </si>
  <si>
    <t>40°34?40?E</t>
  </si>
  <si>
    <t>https://en.wikipedia.org/wiki/Plesetsk_Cosmodrome</t>
  </si>
  <si>
    <t>KEK</t>
  </si>
  <si>
    <t>Japan</t>
  </si>
  <si>
    <t>https://en.wikipedia.org/wiki/KEK</t>
  </si>
  <si>
    <t>Super-Kamiokande</t>
  </si>
  <si>
    <t>https://en.wikipedia.org/wiki/Super-Kamiokande</t>
  </si>
  <si>
    <t>Giant Metrewave Radio Telescope</t>
  </si>
  <si>
    <t>India</t>
  </si>
  <si>
    <t>https://en.wikipedia.org/wiki/Giant_Metrewave_Radio_Telescope</t>
  </si>
  <si>
    <t>Parkes Observatory</t>
  </si>
  <si>
    <t>New South Wales, Australia</t>
  </si>
  <si>
    <t>Australia</t>
  </si>
  <si>
    <t>32°59?52?S 148°15?47?E</t>
  </si>
  <si>
    <t>32°59?52?S</t>
  </si>
  <si>
    <t>148°15?47?E</t>
  </si>
  <si>
    <t>https://en.wikipedia.org/wiki/Parkes_Observatory</t>
  </si>
  <si>
    <t>CSIRO Radiophysics Lab</t>
  </si>
  <si>
    <t>Canberra, Australia</t>
  </si>
  <si>
    <t>33.78°S 151.11°E</t>
  </si>
  <si>
    <t>33.78°S</t>
  </si>
  <si>
    <t>151.11°E</t>
  </si>
  <si>
    <t>https://en.wikipedia.org/wiki/CSIRO</t>
  </si>
  <si>
    <t>Cerro-Tolo Observatory</t>
  </si>
  <si>
    <t>Coquimbo, Chile</t>
  </si>
  <si>
    <t>Chile</t>
  </si>
  <si>
    <t>30°10?09?S 70°48?23?W</t>
  </si>
  <si>
    <t>30°10?09?S</t>
  </si>
  <si>
    <t>70°48?23?W</t>
  </si>
  <si>
    <t>https://en.wikipedia.org/wiki/Cerro_Tololo_Inter-American_Observatory</t>
  </si>
  <si>
    <t>La Silla Observatory</t>
  </si>
  <si>
    <t>29°15?27?S 70°44?15?W</t>
  </si>
  <si>
    <t>29°15?27?S</t>
  </si>
  <si>
    <t>70°44?15?W</t>
  </si>
  <si>
    <t>https://en.wikipedia.org/wiki/La_Silla_Observatory</t>
  </si>
  <si>
    <t>Hartebeesthoek Radio Astronomy Observatory</t>
  </si>
  <si>
    <t>Gautengo, South Africa</t>
  </si>
  <si>
    <t>South Africa</t>
  </si>
  <si>
    <t>25°53?25?S 27°41?08?E</t>
  </si>
  <si>
    <t>25°53?25?S</t>
  </si>
  <si>
    <t>27°41?08?E</t>
  </si>
  <si>
    <t>https://en.wikipedia.org/wiki/Hartebeesthoek_Radio_Astronomy_Observatory</t>
  </si>
  <si>
    <t>Frascati National Laboratory</t>
  </si>
  <si>
    <t>Frascati, Italy</t>
  </si>
  <si>
    <t>41.82070°N 12.67313°E</t>
  </si>
  <si>
    <t>41.82070°N</t>
  </si>
  <si>
    <t>12.67313°E</t>
  </si>
  <si>
    <t>https://en.wikipedia.org/wiki/Laboratori_Nazionali_di_Frascati</t>
  </si>
  <si>
    <t>DESY</t>
  </si>
  <si>
    <t>Hamburg, Germany</t>
  </si>
  <si>
    <t>Germany</t>
  </si>
  <si>
    <t>53°34?33?N 9°52?46?E</t>
  </si>
  <si>
    <t>53°34?33?N</t>
  </si>
  <si>
    <t>9°52?46?E</t>
  </si>
  <si>
    <t>https://en.wikipedia.org/wiki/DESY</t>
  </si>
  <si>
    <t>Kurchatov Institute</t>
  </si>
  <si>
    <t>Moscow, Russia</t>
  </si>
  <si>
    <t>55°48?5?N 37°28?37?E</t>
  </si>
  <si>
    <t>55°48?5?N</t>
  </si>
  <si>
    <t>37°28?37?E</t>
  </si>
  <si>
    <t>https://en.wikipedia.org/wiki/Kurchatov_Institute</t>
  </si>
  <si>
    <t>European Synchrotron Radiation Facility (ESRF)</t>
  </si>
  <si>
    <t>https://en.wikipedia.org/wiki/European_Synchrotron_Radiation_Facility</t>
  </si>
  <si>
    <t>Facility for Antiproton and Ion Research (FAIR)</t>
  </si>
  <si>
    <t>https://en.wikipedia.org/wiki/Facility_for_Antiproton_and_Ion_Research</t>
  </si>
  <si>
    <t>Westerbork Synthesis Radio Telescope</t>
  </si>
  <si>
    <t>Drenthe, Netherlands</t>
  </si>
  <si>
    <t>Netherlands</t>
  </si>
  <si>
    <t>52°54?53?N 6°36?12?E</t>
  </si>
  <si>
    <t>52°54?53?N</t>
  </si>
  <si>
    <t>6°36?12?E</t>
  </si>
  <si>
    <t>https://en.wikipedia.org/wiki/Westerbork_Synthesis_Radio_Telescope</t>
  </si>
  <si>
    <t>Konkoly Observatory</t>
  </si>
  <si>
    <t>Hungary</t>
  </si>
  <si>
    <t>https://en.wikipedia.org/wiki/Konkoly_Observatory</t>
  </si>
  <si>
    <t>Pulkovo Observatory</t>
  </si>
  <si>
    <t>https://en.wikipedia.org/wiki/Pulkovo_Observatory</t>
  </si>
  <si>
    <t>Ond?ejov Observatory</t>
  </si>
  <si>
    <t>Czech Republic</t>
  </si>
  <si>
    <t>https://en.wikipedia.org/wiki/Ond%C5%99ejov_Observatory</t>
  </si>
  <si>
    <t>BESSY / Berlin Electron Storage Ring Society</t>
  </si>
  <si>
    <t>Berlin, Germany</t>
  </si>
  <si>
    <t>https://en.wikipedia.org/wiki/BESSY</t>
  </si>
  <si>
    <t>Byurakan Observatory</t>
  </si>
  <si>
    <t>Mount Aragats, Armenia</t>
  </si>
  <si>
    <t>Armenia</t>
  </si>
  <si>
    <t>40°19?51?N 44°16?06?E</t>
  </si>
  <si>
    <t>40°19?51?N</t>
  </si>
  <si>
    <t>44°16?06?E</t>
  </si>
  <si>
    <t>https://en.wikipedia.org/wiki/Byurakan_Observatory</t>
  </si>
  <si>
    <t>Abastumani Astrophysical Observatory</t>
  </si>
  <si>
    <t>Samtskhe–Javakheti, Georgia</t>
  </si>
  <si>
    <t>Georgia</t>
  </si>
  <si>
    <t>41°45?15?N 42°49?10?E</t>
  </si>
  <si>
    <t>41°45?15?N</t>
  </si>
  <si>
    <t>42°49?10?E</t>
  </si>
  <si>
    <t>https://en.wikipedia.org/wiki/Georgian_National_Astrophysical_Observatory</t>
  </si>
  <si>
    <t>Crimean Astrophysical Observatory</t>
  </si>
  <si>
    <t>Nauchnyi, Crimea</t>
  </si>
  <si>
    <t>Ukraine</t>
  </si>
  <si>
    <t>44°43?36?N 34°0?57.1?E</t>
  </si>
  <si>
    <t>44°43?36?N</t>
  </si>
  <si>
    <t>34°0?57.1?E</t>
  </si>
  <si>
    <t>https://en.wikipedia.org/wiki/Crimean_Astrophysical_Observatory</t>
  </si>
  <si>
    <t>Budker Institute of Nuclear Physics</t>
  </si>
  <si>
    <t>Novosibirsk, Russia</t>
  </si>
  <si>
    <t>54°50?56?N 83°06?40?E</t>
  </si>
  <si>
    <t>54°50?56?N</t>
  </si>
  <si>
    <t>83°06?40?E</t>
  </si>
  <si>
    <t>https://en.wikipedia.org/wiki/Budker_Institute_of_Nuclear_Physics</t>
  </si>
  <si>
    <t>Yerevan Physics Institute</t>
  </si>
  <si>
    <t>40°12?23?N 44°29?06?E</t>
  </si>
  <si>
    <t>40°12?23?N</t>
  </si>
  <si>
    <t>44°29?06?E</t>
  </si>
  <si>
    <t>https://en.wikipedia.org/wiki/Yerevan_Physics_Institute</t>
  </si>
  <si>
    <t>Tien Shan Astronomical Observatory</t>
  </si>
  <si>
    <t>Almaty, Kazakhstan</t>
  </si>
  <si>
    <t>Kazakhstan</t>
  </si>
  <si>
    <t>43°03?27?N 76°58?17?E</t>
  </si>
  <si>
    <t>43°03?27?N</t>
  </si>
  <si>
    <t>76°58?17?E</t>
  </si>
  <si>
    <t>https://en.wikipedia.org/wiki/Tien_Shan_Astronomical_Observatory</t>
  </si>
  <si>
    <t>Rozhen Observatory</t>
  </si>
  <si>
    <t>Bulgaria</t>
  </si>
  <si>
    <t>https://en.wikipedia.org/wiki/Rozhen_Observatory</t>
  </si>
  <si>
    <t>Facility</t>
  </si>
  <si>
    <t>Location</t>
  </si>
  <si>
    <t>Country</t>
  </si>
  <si>
    <t>Coordinates</t>
  </si>
  <si>
    <t>Latitude</t>
  </si>
  <si>
    <t>Longitude</t>
  </si>
  <si>
    <t>Year</t>
  </si>
  <si>
    <t>End Year</t>
  </si>
  <si>
    <t>Wikipedia Link</t>
  </si>
  <si>
    <t>Argonne National Laboratory</t>
  </si>
  <si>
    <t>Lemont, Downers Grove Township, DuPage County, Illinois, USA</t>
  </si>
  <si>
    <t>41.709166°N 87.981992°W</t>
  </si>
  <si>
    <t>https://en.wikipedia.org/wiki/Argonne_National_Laboratory</t>
  </si>
  <si>
    <t>Comment</t>
  </si>
  <si>
    <t>This was previously the metallurgical lab of the University of Chicago (maybe structure pre-existing)</t>
  </si>
  <si>
    <t>Oak Ridge National Laboratory</t>
  </si>
  <si>
    <t>Built in secrecy during the War</t>
  </si>
  <si>
    <t>Oak Ridge, Tennessee, United States</t>
  </si>
  <si>
    <t>35.93°N 84.31°W</t>
  </si>
  <si>
    <t>https://en.wikipedia.org/wiki/Oak_Ridge_National_Laboratory#History</t>
  </si>
  <si>
    <t>Los Alamos National Laboratory</t>
  </si>
  <si>
    <t>https://en.wikipedia.org/wiki/Los_Alamos_National_Laboratory</t>
  </si>
  <si>
    <t>West Jemez Road and Diamond Drive, Los Alamos, New Mexico</t>
  </si>
  <si>
    <t>35°52′42″N 106°19′7″W</t>
  </si>
  <si>
    <t>Lawrence Berkeley National Laboratory</t>
  </si>
  <si>
    <t xml:space="preserve">	Berkeley, California, United States</t>
  </si>
  <si>
    <t>37°52′33″N 122°14′55″W</t>
  </si>
  <si>
    <t>https://en.wikipedia.org/wiki/Lawrence_Berkeley_National_Laboratory</t>
  </si>
  <si>
    <t>Inside Berkley, so maybe not ideal</t>
  </si>
  <si>
    <t>Lawrence Livermore National Laboratory</t>
  </si>
  <si>
    <t xml:space="preserve">	Livermore, California, U.S.</t>
  </si>
  <si>
    <t>37.69°N 121.71°W</t>
  </si>
  <si>
    <t>https://en.wikipedia.org/wiki/Lawrence_Livermore_National_Laboratory</t>
  </si>
  <si>
    <t>41°49′55″N 88°15′26″W</t>
  </si>
  <si>
    <t xml:space="preserve">	Winfield Township, DuPage County, Illinois, United States</t>
  </si>
  <si>
    <t>Not clear when it becomes observable</t>
  </si>
  <si>
    <t xml:space="preserve">	Upton, Suffolk County, New York, United States</t>
  </si>
  <si>
    <t>"Out of 17 considered sites in the Boston-Washington corridor, Camp Upton on Long Island was eventually chosen as the most suitable in consideration of space, transportation, and availability</t>
  </si>
  <si>
    <t>Sandia National Laboratories</t>
  </si>
  <si>
    <t xml:space="preserve">	Albuquerque, New Mexico</t>
  </si>
  <si>
    <t>35.050657°N 106.543136°W</t>
  </si>
  <si>
    <t>https://en.wikipedia.org/wiki/Sandia_National_Laboratories</t>
  </si>
  <si>
    <t>Under the Manhattan project, was first a military base (used the infrastructure)</t>
  </si>
  <si>
    <t>Was first a military base (used the infrastructure) - this initial date is when it was created as the lab, not the infrastructure creation</t>
  </si>
  <si>
    <t>Idaho National Laboratory</t>
  </si>
  <si>
    <t>https://en.wikipedia.org/wiki/Idaho_National_Laboratory#</t>
  </si>
  <si>
    <t xml:space="preserve">	Idaho Falls, Idaho, U.S.</t>
  </si>
  <si>
    <t>43°32′00″N 112°56′41″W</t>
  </si>
  <si>
    <t>Pacific Northwest National Laboratory</t>
  </si>
  <si>
    <t>Althought created in 1965, the infrastructure was constructed for the Manhattan project (Private GE lab before). Established in 1965</t>
  </si>
  <si>
    <t>https://en.wikipedia.org/wiki/Pacific_Northwest_National_Laboratory#History</t>
  </si>
  <si>
    <t xml:space="preserve">	Richland, Washington</t>
  </si>
  <si>
    <t>46.343224°N 119.276333°W</t>
  </si>
  <si>
    <t>Savannah River National Laboratory</t>
  </si>
  <si>
    <t xml:space="preserve">	Savannah River Site, near Jackson, South Carolina, U.S.</t>
  </si>
  <si>
    <t>33.342792°N 81.738121°W</t>
  </si>
  <si>
    <t>https://en.wikipedia.org/wiki/Savannah_River_National_Laboratory</t>
  </si>
  <si>
    <t>Not much information on construction, appears to be a normal lab</t>
  </si>
  <si>
    <t>National Laboratory of the Rockies</t>
  </si>
  <si>
    <t xml:space="preserve">	Golden, Colorado</t>
  </si>
  <si>
    <t>39.74068°N 105.17300°W</t>
  </si>
  <si>
    <t>https://en.wikipedia.org/wiki/National_Laboratory_of_the_Rockies</t>
  </si>
  <si>
    <t>More recent and laboratory for renewable energy</t>
  </si>
  <si>
    <t>37°25′03″N 122°12′09″W</t>
  </si>
  <si>
    <t>https://www6.slac.stanford.edu/about/our-story/history/slac-timeline</t>
  </si>
  <si>
    <t>Thomas Jefferson National Accelerator Facility</t>
  </si>
  <si>
    <t xml:space="preserve">	Newport News, Virginia</t>
  </si>
  <si>
    <t>37°05′41″N 76°28′54″W</t>
  </si>
  <si>
    <t>https://en.wikipedia.org/wiki/Thomas_Jefferson_National_Accelerator_Facility#</t>
  </si>
  <si>
    <t>High Flux Isotope Reactor</t>
  </si>
  <si>
    <t>In the Oak Ridge National Laboratory</t>
  </si>
  <si>
    <t>https://en.wikipedia.org/wiki/High_Flux_Isotope_Reactor</t>
  </si>
  <si>
    <t>35.9181°N 84.3040°W</t>
  </si>
  <si>
    <t>LIGO Hanford Observatory</t>
  </si>
  <si>
    <t>LIGO Livingston Observatory</t>
  </si>
  <si>
    <t xml:space="preserve">	Hanford Site, Washington</t>
  </si>
  <si>
    <t xml:space="preserve"> Livingston, Louisiana</t>
  </si>
  <si>
    <t>Count</t>
  </si>
  <si>
    <t>46°27′19″N 119°24′28″W</t>
  </si>
  <si>
    <t>30°33′47″N 90°46′28″W</t>
  </si>
  <si>
    <t>https://en.wikipedia.org/wiki/LIGO</t>
  </si>
  <si>
    <t>Too late</t>
  </si>
  <si>
    <t>Green Bank Observatory</t>
  </si>
  <si>
    <t xml:space="preserve">	Green Bank, United States National Radio Quiet Zone, Pocahontas County, United States</t>
  </si>
  <si>
    <t>38°26′16″N 79°50′10″W</t>
  </si>
  <si>
    <t>https://en.wikipedia.org/wiki/Green_Bank_Observatory</t>
  </si>
  <si>
    <t>Maybe too small</t>
  </si>
  <si>
    <t>34°04′43″N 107°37′04″W</t>
  </si>
  <si>
    <t>Maybe 1974</t>
  </si>
  <si>
    <t>https://en.wikipedia.org/wiki/Very_Long_Baseline_Array</t>
  </si>
  <si>
    <t>Very Long Baseline Array</t>
  </si>
  <si>
    <t xml:space="preserve">	Washington, Pacific Northwest</t>
  </si>
  <si>
    <t>34°04′44″N 107°37′06″W</t>
  </si>
  <si>
    <t>Kitt Peak National Observatory</t>
  </si>
  <si>
    <t>31°57′30″N 111°35′48″W</t>
  </si>
  <si>
    <t xml:space="preserve">	Kitt Peak, Arizona, US</t>
  </si>
  <si>
    <t>2096m of altitute. Construction can be earlier</t>
  </si>
  <si>
    <t>https://en.wikipedia.org/wiki/Kitt_Peak_National_Observatory</t>
  </si>
  <si>
    <t>34°13′30″N 118°03′26″W</t>
  </si>
  <si>
    <t>Largest Hooker telescope (1915). 60 inch telescope in 1908</t>
  </si>
  <si>
    <t>Houston, Texas, United States</t>
  </si>
  <si>
    <t>Johnson Space Center</t>
  </si>
  <si>
    <t>29°33′30″N 95°05′20″W</t>
  </si>
  <si>
    <t>https://en.wikipedia.org/wiki/Johnson_Space_Center</t>
  </si>
  <si>
    <t>Kennedy Space Center</t>
  </si>
  <si>
    <t>Merritt Island, Florida</t>
  </si>
  <si>
    <t>28°31′27″N 80°39′03″W</t>
  </si>
  <si>
    <t>https://en.wikipedia.org/wiki/Kennedy_Space_Center</t>
  </si>
  <si>
    <t>Goddard Space Flight Center</t>
  </si>
  <si>
    <t>Greenbelt, Maryland, United States</t>
  </si>
  <si>
    <t>38°59′32″N 76°51′9″W</t>
  </si>
  <si>
    <t>https://en.wikipedia.org/wiki/Goddard_Space_Flight_Center#</t>
  </si>
  <si>
    <t>https://www.nasa.gov/goddard/history/</t>
  </si>
  <si>
    <t>34°12′00″N 118°10′18″W</t>
  </si>
  <si>
    <t>Ames Research Center</t>
  </si>
  <si>
    <t>https://en.wikipedia.org/wiki/Ames_Research_Center</t>
  </si>
  <si>
    <t>https://www.nasa.gov/reference/ames-history/ - date not sure</t>
  </si>
  <si>
    <t xml:space="preserve">	Moffett Field, California, U.S.</t>
  </si>
  <si>
    <t>37.415229°N 122.062650°W</t>
  </si>
  <si>
    <t>Glenn Research Center</t>
  </si>
  <si>
    <t xml:space="preserve">	Brook Park, Ohio, U.S.</t>
  </si>
  <si>
    <t>41.412843°N 81.862399°W</t>
  </si>
  <si>
    <t>Examined other 72 potential locations - https://www.nasa.gov/glenn/history/</t>
  </si>
  <si>
    <t>https://en.wikipedia.org/wiki/Glenn_Research_Center</t>
  </si>
  <si>
    <t>https://en.wikipedia.org/wiki/Langley_Research_Center#</t>
  </si>
  <si>
    <t xml:space="preserve">	Hampton, Virginia, U.S.</t>
  </si>
  <si>
    <t>Langley Research Center</t>
  </si>
  <si>
    <t>37.0925°N 76.3825°W</t>
  </si>
  <si>
    <t>Several Buildings</t>
  </si>
  <si>
    <t>Marshall Space Flight Center</t>
  </si>
  <si>
    <t xml:space="preserve">	Redstone Arsenal, Madison County, Alabama</t>
  </si>
  <si>
    <t>34°39′3″N 86°40′22″W</t>
  </si>
  <si>
    <t>https://en.wikipedia.org/wiki/Marshall_Space_Flight_Center</t>
  </si>
  <si>
    <t>https://www.nasa.gov/marshall/marshall-space-flight-center-history/</t>
  </si>
  <si>
    <t>Stennis Space Center</t>
  </si>
  <si>
    <t>Hancock County, Mississippi, United States</t>
  </si>
  <si>
    <t>30°21′45.96″N 89°36′00.72″W</t>
  </si>
  <si>
    <t>https://www.nasa.gov/stennis/about-stennis/stennis-space-center-history/chronology/1960-1969/</t>
  </si>
  <si>
    <t>https://en.wikipedia.org/wiki/Stennis_Space_Center</t>
  </si>
  <si>
    <t>Wallops Flight Facility</t>
  </si>
  <si>
    <t xml:space="preserve">	Wallops Island, Virginia</t>
  </si>
  <si>
    <t>37.93333°N 75.46778°W</t>
  </si>
  <si>
    <t>https://en.wikipedia.org/wiki/Wallops_Flight_Facility#History</t>
  </si>
  <si>
    <t>https://www.nasa.gov/wallops-history/</t>
  </si>
  <si>
    <t>Goldstone Deep Space Communications Complex</t>
  </si>
  <si>
    <t xml:space="preserve">	Fort Irwin, California</t>
  </si>
  <si>
    <t>35°25′36″N 116°53′24″W</t>
  </si>
  <si>
    <t>https://en.wikipedia.org/wiki/Goldstone_Deep_Space_Communications_Complex#</t>
  </si>
  <si>
    <t>Not sure if too visible</t>
  </si>
  <si>
    <t>33°21′23″N 116°51′54″W</t>
  </si>
  <si>
    <t xml:space="preserve">	Erie County, Ohio</t>
  </si>
  <si>
    <t>Spacecraft Propulsion Research Facility</t>
  </si>
  <si>
    <t>41°22′1″N 82°41′1″W</t>
  </si>
  <si>
    <t>https://en.wikipedia.org/wiki/Spacecraft_Propulsion_Research_Facility</t>
  </si>
  <si>
    <t>Lick Observatory</t>
  </si>
  <si>
    <t>37°20′28″N 121°38′35″W</t>
  </si>
  <si>
    <t>San Jose, California</t>
  </si>
  <si>
    <t>https://en.wikipedia.org/wiki/Lick_Observatory</t>
  </si>
  <si>
    <t>Maybe became apparent later on</t>
  </si>
  <si>
    <t>McDonald Observatory</t>
  </si>
  <si>
    <t>Jeff Davis County, Texas</t>
  </si>
  <si>
    <t>30°40′17″N 104°01′19″W</t>
  </si>
  <si>
    <t>https://en.wikipedia.org/wiki/McDonald_Observatory</t>
  </si>
  <si>
    <t>Altitute 2,077m. See https://mcdonald.utexas.edu/research-facilities/HJST</t>
  </si>
  <si>
    <t>32.4420°N 110.7893°W</t>
  </si>
  <si>
    <t>Mount Lemmon Observatory</t>
  </si>
  <si>
    <t>Mount Lemmon, Arizona</t>
  </si>
  <si>
    <t>https://en.wikipedia.org/wiki/Mount_Lemmon_Observatory</t>
  </si>
  <si>
    <t>See https://skycenter.arizona.edu/content/history and https://cse.umn.edu/mifa/research/lemmon</t>
  </si>
  <si>
    <t xml:space="preserve">	Owens Valley, Inyo County, California, Pacific States Region</t>
  </si>
  <si>
    <t>Owens Valley Radio Observatory</t>
  </si>
  <si>
    <t>37°14′02″N 118°16′55″W</t>
  </si>
  <si>
    <t>See https://www.ovro.caltech.edu/history</t>
  </si>
  <si>
    <t>https://en.wikipedia.org/wiki/Owens_Valley_Radio_Observatory</t>
  </si>
  <si>
    <t>Hat Creek Radio Observatory</t>
  </si>
  <si>
    <t>California, Pacific States Region</t>
  </si>
  <si>
    <t>40°49′04″N 121°28′23″W</t>
  </si>
  <si>
    <t>https://en.wikipedia.org/wiki/Hat_Creek_Radio_Observatory</t>
  </si>
  <si>
    <t>Don't know if that visible</t>
  </si>
  <si>
    <t>Haystack Observatory</t>
  </si>
  <si>
    <t>Westford, Massachusetts</t>
  </si>
  <si>
    <t>42°37′24″N 71°29′18″W</t>
  </si>
  <si>
    <t>https://en.wikipedia.org/wiki/Haystack_Observatory</t>
  </si>
  <si>
    <t>Also see: https://www.ll.mit.edu/sites/default/files/page/doc/2018-05/21_1_1_Brown.pdf (page 3)</t>
  </si>
  <si>
    <t>Established in 1952 in a location with previous infrastructure  (https://www.llnl.gov/purpose/history#event-the-founding-of-the-laboratory-at-livermore)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</si>
</sst>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33" borderId="0" xfId="0" applyFill="1"/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/>
    </xf>
    <xf numFmtId="0" fontId="18" fillId="33" borderId="0" xfId="42" applyFill="1" applyAlignment="1">
      <alignment horizontal="center"/>
    </xf>
    <xf numFmtId="0" fontId="0" fillId="33" borderId="0" xfId="0" applyFill="1" applyAlignment="1">
      <alignment horizontal="center" wrapText="1"/>
    </xf>
    <xf numFmtId="0" fontId="18" fillId="33" borderId="0" xfId="42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Very_Long_Baseline_Array" TargetMode="External"/><Relationship Id="rId18" Type="http://schemas.openxmlformats.org/officeDocument/2006/relationships/hyperlink" Target="https://www.nasa.gov/goddard/history/" TargetMode="External"/><Relationship Id="rId26" Type="http://schemas.openxmlformats.org/officeDocument/2006/relationships/hyperlink" Target="https://en.wikipedia.org/wiki/Goldstone_Deep_Space_Communications_Complex" TargetMode="External"/><Relationship Id="rId3" Type="http://schemas.openxmlformats.org/officeDocument/2006/relationships/hyperlink" Target="https://en.wikipedia.org/wiki/Lawrence_Livermore_National_Laboratory" TargetMode="External"/><Relationship Id="rId21" Type="http://schemas.openxmlformats.org/officeDocument/2006/relationships/hyperlink" Target="https://www.nasa.gov/marshall/marshall-space-flight-center-history/" TargetMode="External"/><Relationship Id="rId7" Type="http://schemas.openxmlformats.org/officeDocument/2006/relationships/hyperlink" Target="https://www6.slac.stanford.edu/about/our-story/history/slac-timeline" TargetMode="External"/><Relationship Id="rId12" Type="http://schemas.openxmlformats.org/officeDocument/2006/relationships/hyperlink" Target="https://en.wikipedia.org/wiki/Green_Bank_Observatory" TargetMode="External"/><Relationship Id="rId17" Type="http://schemas.openxmlformats.org/officeDocument/2006/relationships/hyperlink" Target="https://en.wikipedia.org/wiki/Goddard_Space_Flight_Center" TargetMode="External"/><Relationship Id="rId25" Type="http://schemas.openxmlformats.org/officeDocument/2006/relationships/hyperlink" Target="https://www.nasa.gov/wallops-history/" TargetMode="External"/><Relationship Id="rId33" Type="http://schemas.openxmlformats.org/officeDocument/2006/relationships/hyperlink" Target="https://en.wikipedia.org/wiki/Haystack_Observatory" TargetMode="External"/><Relationship Id="rId2" Type="http://schemas.openxmlformats.org/officeDocument/2006/relationships/hyperlink" Target="https://en.wikipedia.org/wiki/Oak_Ridge_National_Laboratory" TargetMode="External"/><Relationship Id="rId16" Type="http://schemas.openxmlformats.org/officeDocument/2006/relationships/hyperlink" Target="https://en.wikipedia.org/wiki/Kennedy_Space_Center" TargetMode="External"/><Relationship Id="rId20" Type="http://schemas.openxmlformats.org/officeDocument/2006/relationships/hyperlink" Target="https://en.wikipedia.org/wiki/Langley_Research_Center" TargetMode="External"/><Relationship Id="rId29" Type="http://schemas.openxmlformats.org/officeDocument/2006/relationships/hyperlink" Target="https://en.wikipedia.org/wiki/McDonald_Observatory" TargetMode="External"/><Relationship Id="rId1" Type="http://schemas.openxmlformats.org/officeDocument/2006/relationships/hyperlink" Target="https://geohack.toolforge.org/geohack.php?pagename=Argonne_National_Laboratory&amp;params=41.709166_N_87.981992_W_region:US_type:landmark" TargetMode="External"/><Relationship Id="rId6" Type="http://schemas.openxmlformats.org/officeDocument/2006/relationships/hyperlink" Target="https://en.wikipedia.org/wiki/National_Laboratory_of_the_Rockies" TargetMode="External"/><Relationship Id="rId11" Type="http://schemas.openxmlformats.org/officeDocument/2006/relationships/hyperlink" Target="https://en.wikipedia.org/wiki/LIGO" TargetMode="External"/><Relationship Id="rId24" Type="http://schemas.openxmlformats.org/officeDocument/2006/relationships/hyperlink" Target="https://en.wikipedia.org/wiki/Wallops_Flight_Facility" TargetMode="External"/><Relationship Id="rId32" Type="http://schemas.openxmlformats.org/officeDocument/2006/relationships/hyperlink" Target="https://en.wikipedia.org/wiki/Hat_Creek_Radio_Observatory" TargetMode="External"/><Relationship Id="rId5" Type="http://schemas.openxmlformats.org/officeDocument/2006/relationships/hyperlink" Target="https://en.wikipedia.org/wiki/Pacific_Northwest_National_Laboratory" TargetMode="External"/><Relationship Id="rId15" Type="http://schemas.openxmlformats.org/officeDocument/2006/relationships/hyperlink" Target="https://en.wikipedia.org/wiki/Johnson_Space_Center" TargetMode="External"/><Relationship Id="rId23" Type="http://schemas.openxmlformats.org/officeDocument/2006/relationships/hyperlink" Target="https://en.wikipedia.org/wiki/Stennis_Space_Center" TargetMode="External"/><Relationship Id="rId28" Type="http://schemas.openxmlformats.org/officeDocument/2006/relationships/hyperlink" Target="https://en.wikipedia.org/wiki/Lick_Observatory" TargetMode="External"/><Relationship Id="rId10" Type="http://schemas.openxmlformats.org/officeDocument/2006/relationships/hyperlink" Target="https://en.wikipedia.org/wiki/LIGO" TargetMode="External"/><Relationship Id="rId19" Type="http://schemas.openxmlformats.org/officeDocument/2006/relationships/hyperlink" Target="https://www.nasa.gov/reference/ames-history/%20-%20date%20not%20sure" TargetMode="External"/><Relationship Id="rId31" Type="http://schemas.openxmlformats.org/officeDocument/2006/relationships/hyperlink" Target="https://en.wikipedia.org/wiki/Owens_Valley_Radio_Observatory" TargetMode="External"/><Relationship Id="rId4" Type="http://schemas.openxmlformats.org/officeDocument/2006/relationships/hyperlink" Target="https://en.wikipedia.org/wiki/Fermilab" TargetMode="External"/><Relationship Id="rId9" Type="http://schemas.openxmlformats.org/officeDocument/2006/relationships/hyperlink" Target="https://en.wikipedia.org/wiki/High_Flux_Isotope_Reactor" TargetMode="External"/><Relationship Id="rId14" Type="http://schemas.openxmlformats.org/officeDocument/2006/relationships/hyperlink" Target="https://en.wikipedia.org/wiki/Kitt_Peak_National_Observatory" TargetMode="External"/><Relationship Id="rId22" Type="http://schemas.openxmlformats.org/officeDocument/2006/relationships/hyperlink" Target="https://www.nasa.gov/stennis/about-stennis/stennis-space-center-history/chronology/1960-1969/" TargetMode="External"/><Relationship Id="rId27" Type="http://schemas.openxmlformats.org/officeDocument/2006/relationships/hyperlink" Target="https://en.wikipedia.org/wiki/Spacecraft_Propulsion_Research_Facility" TargetMode="External"/><Relationship Id="rId30" Type="http://schemas.openxmlformats.org/officeDocument/2006/relationships/hyperlink" Target="https://en.wikipedia.org/wiki/Mount_Lemmon_Observatory" TargetMode="External"/><Relationship Id="rId8" Type="http://schemas.openxmlformats.org/officeDocument/2006/relationships/hyperlink" Target="https://en.wikipedia.org/wiki/Thomas_Jefferson_National_Accelerator_Fac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8D3B-8C2C-4DAE-93A6-F61F29FD151F}">
  <dimension ref="B2:J30"/>
  <sheetViews>
    <sheetView topLeftCell="A12" workbookViewId="0">
      <selection activeCell="B3" sqref="B3:B30"/>
    </sheetView>
  </sheetViews>
  <sheetFormatPr defaultRowHeight="15" x14ac:dyDescent="0.25"/>
  <cols>
    <col min="2" max="2" width="42.28515625" bestFit="1" customWidth="1"/>
    <col min="3" max="3" width="26.140625" bestFit="1" customWidth="1"/>
    <col min="4" max="4" width="22.7109375" bestFit="1" customWidth="1"/>
    <col min="5" max="5" width="23.42578125" bestFit="1" customWidth="1"/>
    <col min="6" max="6" width="11.140625" bestFit="1" customWidth="1"/>
    <col min="7" max="7" width="12.42578125" bestFit="1" customWidth="1"/>
    <col min="8" max="8" width="5" bestFit="1" customWidth="1"/>
    <col min="9" max="9" width="8.85546875" bestFit="1" customWidth="1"/>
    <col min="10" max="10" width="70.5703125" bestFit="1" customWidth="1"/>
  </cols>
  <sheetData>
    <row r="2" spans="2:10" x14ac:dyDescent="0.25"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225</v>
      </c>
      <c r="H2" s="1" t="s">
        <v>226</v>
      </c>
      <c r="I2" s="1" t="s">
        <v>227</v>
      </c>
      <c r="J2" s="1" t="s">
        <v>228</v>
      </c>
    </row>
    <row r="3" spans="2:10" x14ac:dyDescent="0.25">
      <c r="B3" s="2" t="s">
        <v>10</v>
      </c>
      <c r="C3" s="3" t="s">
        <v>11</v>
      </c>
      <c r="D3" s="3" t="s">
        <v>6</v>
      </c>
      <c r="E3" s="3" t="s">
        <v>12</v>
      </c>
      <c r="F3" s="3" t="s">
        <v>13</v>
      </c>
      <c r="G3" s="3" t="s">
        <v>14</v>
      </c>
      <c r="H3" s="3">
        <v>1973</v>
      </c>
      <c r="I3" s="3">
        <v>1981</v>
      </c>
      <c r="J3" s="3" t="s">
        <v>15</v>
      </c>
    </row>
    <row r="4" spans="2:10" x14ac:dyDescent="0.25">
      <c r="B4" s="2" t="s">
        <v>21</v>
      </c>
      <c r="C4" s="3" t="s">
        <v>22</v>
      </c>
      <c r="D4" s="3" t="s">
        <v>6</v>
      </c>
      <c r="E4" s="3" t="s">
        <v>23</v>
      </c>
      <c r="F4" s="3" t="s">
        <v>24</v>
      </c>
      <c r="G4" s="3" t="s">
        <v>25</v>
      </c>
      <c r="H4" s="3">
        <v>1966</v>
      </c>
      <c r="I4" s="3"/>
      <c r="J4" s="3" t="s">
        <v>26</v>
      </c>
    </row>
    <row r="5" spans="2:10" x14ac:dyDescent="0.25">
      <c r="B5" s="2" t="s">
        <v>27</v>
      </c>
      <c r="C5" s="3" t="s">
        <v>28</v>
      </c>
      <c r="D5" s="3" t="s">
        <v>6</v>
      </c>
      <c r="E5" s="3" t="s">
        <v>29</v>
      </c>
      <c r="F5" s="3" t="s">
        <v>30</v>
      </c>
      <c r="G5" s="3" t="s">
        <v>31</v>
      </c>
      <c r="H5" s="3">
        <v>1969</v>
      </c>
      <c r="I5" s="3"/>
      <c r="J5" s="3" t="s">
        <v>32</v>
      </c>
    </row>
    <row r="6" spans="2:10" x14ac:dyDescent="0.25">
      <c r="B6" s="2" t="s">
        <v>33</v>
      </c>
      <c r="C6" s="3" t="s">
        <v>34</v>
      </c>
      <c r="D6" s="3" t="s">
        <v>6</v>
      </c>
      <c r="E6" s="3" t="s">
        <v>35</v>
      </c>
      <c r="F6" s="3" t="s">
        <v>36</v>
      </c>
      <c r="G6" s="3" t="s">
        <v>37</v>
      </c>
      <c r="H6" s="3">
        <v>1936</v>
      </c>
      <c r="I6" s="3"/>
      <c r="J6" s="3" t="s">
        <v>38</v>
      </c>
    </row>
    <row r="7" spans="2:10" x14ac:dyDescent="0.25">
      <c r="B7" s="2" t="s">
        <v>39</v>
      </c>
      <c r="C7" s="3" t="s">
        <v>40</v>
      </c>
      <c r="D7" s="3" t="s">
        <v>6</v>
      </c>
      <c r="E7" s="3" t="s">
        <v>41</v>
      </c>
      <c r="F7" s="3" t="s">
        <v>42</v>
      </c>
      <c r="G7" s="3" t="s">
        <v>43</v>
      </c>
      <c r="H7" s="3">
        <v>1947</v>
      </c>
      <c r="I7" s="3">
        <v>1950</v>
      </c>
      <c r="J7" s="3" t="s">
        <v>44</v>
      </c>
    </row>
    <row r="8" spans="2:10" x14ac:dyDescent="0.25">
      <c r="B8" s="2" t="s">
        <v>45</v>
      </c>
      <c r="C8" s="3" t="s">
        <v>46</v>
      </c>
      <c r="D8" s="3" t="s">
        <v>6</v>
      </c>
      <c r="E8" s="3" t="s">
        <v>47</v>
      </c>
      <c r="F8" s="3" t="s">
        <v>48</v>
      </c>
      <c r="G8" s="3" t="s">
        <v>49</v>
      </c>
      <c r="H8" s="3">
        <v>1915</v>
      </c>
      <c r="I8" s="3">
        <v>1917</v>
      </c>
      <c r="J8" s="3" t="s">
        <v>50</v>
      </c>
    </row>
    <row r="9" spans="2:10" x14ac:dyDescent="0.25">
      <c r="B9" s="2" t="s">
        <v>51</v>
      </c>
      <c r="C9" s="3" t="s">
        <v>52</v>
      </c>
      <c r="D9" s="3" t="s">
        <v>6</v>
      </c>
      <c r="E9" s="3" t="s">
        <v>53</v>
      </c>
      <c r="F9" s="3" t="s">
        <v>54</v>
      </c>
      <c r="G9" s="3" t="s">
        <v>55</v>
      </c>
      <c r="H9" s="3">
        <v>1947</v>
      </c>
      <c r="I9" s="3">
        <v>1949</v>
      </c>
      <c r="J9" s="3" t="s">
        <v>56</v>
      </c>
    </row>
    <row r="10" spans="2:10" x14ac:dyDescent="0.25">
      <c r="B10" s="2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3">
        <v>1963</v>
      </c>
      <c r="I10" s="3"/>
      <c r="J10" s="3" t="s">
        <v>63</v>
      </c>
    </row>
    <row r="11" spans="2:10" x14ac:dyDescent="0.25">
      <c r="B11" s="2" t="s">
        <v>64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  <c r="H11" s="3">
        <v>1945</v>
      </c>
      <c r="I11" s="3">
        <v>1947</v>
      </c>
      <c r="J11" s="3" t="s">
        <v>70</v>
      </c>
    </row>
    <row r="12" spans="2:10" x14ac:dyDescent="0.25">
      <c r="B12" s="2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3" t="s">
        <v>76</v>
      </c>
      <c r="H12" s="3">
        <v>1985</v>
      </c>
      <c r="I12" s="3"/>
      <c r="J12" s="3" t="s">
        <v>77</v>
      </c>
    </row>
    <row r="13" spans="2:10" x14ac:dyDescent="0.25">
      <c r="B13" s="2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3">
        <v>1967</v>
      </c>
      <c r="I13" s="3"/>
      <c r="J13" s="3" t="s">
        <v>84</v>
      </c>
    </row>
    <row r="14" spans="2:10" x14ac:dyDescent="0.25">
      <c r="B14" s="2" t="s">
        <v>85</v>
      </c>
      <c r="C14" s="3" t="s">
        <v>86</v>
      </c>
      <c r="D14" s="3" t="s">
        <v>80</v>
      </c>
      <c r="E14" s="3" t="s">
        <v>87</v>
      </c>
      <c r="F14" s="3" t="s">
        <v>88</v>
      </c>
      <c r="G14" s="3" t="s">
        <v>89</v>
      </c>
      <c r="H14" s="3">
        <v>1955</v>
      </c>
      <c r="I14" s="3"/>
      <c r="J14" s="3" t="s">
        <v>90</v>
      </c>
    </row>
    <row r="15" spans="2:10" x14ac:dyDescent="0.25">
      <c r="B15" s="2" t="s">
        <v>91</v>
      </c>
      <c r="C15" s="3" t="s">
        <v>92</v>
      </c>
      <c r="D15" s="3" t="s">
        <v>80</v>
      </c>
      <c r="E15" s="3" t="s">
        <v>93</v>
      </c>
      <c r="F15" s="3" t="s">
        <v>94</v>
      </c>
      <c r="G15" s="3" t="s">
        <v>95</v>
      </c>
      <c r="H15" s="3">
        <v>1957</v>
      </c>
      <c r="I15" s="3">
        <v>1963</v>
      </c>
      <c r="J15" s="3" t="s">
        <v>96</v>
      </c>
    </row>
    <row r="16" spans="2:10" x14ac:dyDescent="0.25">
      <c r="B16" s="2" t="s">
        <v>105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110</v>
      </c>
      <c r="H16" s="3">
        <v>1956</v>
      </c>
      <c r="I16" s="3">
        <v>1961</v>
      </c>
      <c r="J16" s="3" t="s">
        <v>111</v>
      </c>
    </row>
    <row r="17" spans="2:10" x14ac:dyDescent="0.25">
      <c r="B17" s="2" t="s">
        <v>112</v>
      </c>
      <c r="C17" s="3" t="s">
        <v>113</v>
      </c>
      <c r="D17" s="3" t="s">
        <v>107</v>
      </c>
      <c r="E17" s="3" t="s">
        <v>114</v>
      </c>
      <c r="F17" s="3" t="s">
        <v>115</v>
      </c>
      <c r="G17" s="3" t="s">
        <v>116</v>
      </c>
      <c r="H17" s="3">
        <v>1948</v>
      </c>
      <c r="I17" s="3"/>
      <c r="J17" s="3" t="s">
        <v>117</v>
      </c>
    </row>
    <row r="18" spans="2:10" x14ac:dyDescent="0.25">
      <c r="B18" s="2" t="s">
        <v>118</v>
      </c>
      <c r="C18" s="3" t="s">
        <v>119</v>
      </c>
      <c r="D18" s="3" t="s">
        <v>120</v>
      </c>
      <c r="E18" s="3" t="s">
        <v>121</v>
      </c>
      <c r="F18" s="3" t="s">
        <v>122</v>
      </c>
      <c r="G18" s="3" t="s">
        <v>123</v>
      </c>
      <c r="H18" s="3">
        <v>1963</v>
      </c>
      <c r="I18" s="3">
        <v>1965</v>
      </c>
      <c r="J18" s="3" t="s">
        <v>124</v>
      </c>
    </row>
    <row r="19" spans="2:10" x14ac:dyDescent="0.25">
      <c r="B19" s="2" t="s">
        <v>125</v>
      </c>
      <c r="C19" s="3" t="s">
        <v>119</v>
      </c>
      <c r="D19" s="3" t="s">
        <v>120</v>
      </c>
      <c r="E19" s="3" t="s">
        <v>126</v>
      </c>
      <c r="F19" s="3" t="s">
        <v>127</v>
      </c>
      <c r="G19" s="3" t="s">
        <v>128</v>
      </c>
      <c r="H19" s="3">
        <v>1965</v>
      </c>
      <c r="I19" s="3">
        <v>1969</v>
      </c>
      <c r="J19" s="3" t="s">
        <v>129</v>
      </c>
    </row>
    <row r="20" spans="2:10" x14ac:dyDescent="0.25">
      <c r="B20" s="2" t="s">
        <v>130</v>
      </c>
      <c r="C20" s="3" t="s">
        <v>131</v>
      </c>
      <c r="D20" s="3" t="s">
        <v>132</v>
      </c>
      <c r="E20" s="3" t="s">
        <v>133</v>
      </c>
      <c r="F20" s="3" t="s">
        <v>134</v>
      </c>
      <c r="G20" s="3" t="s">
        <v>135</v>
      </c>
      <c r="H20" s="3">
        <v>1961</v>
      </c>
      <c r="I20" s="3"/>
      <c r="J20" s="3" t="s">
        <v>136</v>
      </c>
    </row>
    <row r="21" spans="2:10" x14ac:dyDescent="0.25">
      <c r="B21" s="2" t="s">
        <v>137</v>
      </c>
      <c r="C21" s="3" t="s">
        <v>138</v>
      </c>
      <c r="D21" s="3" t="s">
        <v>73</v>
      </c>
      <c r="E21" s="3" t="s">
        <v>139</v>
      </c>
      <c r="F21" s="3" t="s">
        <v>140</v>
      </c>
      <c r="G21" s="3" t="s">
        <v>141</v>
      </c>
      <c r="H21" s="3">
        <v>1954</v>
      </c>
      <c r="I21" s="3">
        <v>1959</v>
      </c>
      <c r="J21" s="3" t="s">
        <v>142</v>
      </c>
    </row>
    <row r="22" spans="2:10" x14ac:dyDescent="0.25">
      <c r="B22" s="2" t="s">
        <v>143</v>
      </c>
      <c r="C22" s="3" t="s">
        <v>144</v>
      </c>
      <c r="D22" s="3" t="s">
        <v>145</v>
      </c>
      <c r="E22" s="3" t="s">
        <v>146</v>
      </c>
      <c r="F22" s="3" t="s">
        <v>147</v>
      </c>
      <c r="G22" s="3" t="s">
        <v>148</v>
      </c>
      <c r="H22" s="3">
        <v>1959</v>
      </c>
      <c r="I22" s="3">
        <v>1964</v>
      </c>
      <c r="J22" s="3" t="s">
        <v>149</v>
      </c>
    </row>
    <row r="23" spans="2:10" x14ac:dyDescent="0.25">
      <c r="B23" s="2" t="s">
        <v>150</v>
      </c>
      <c r="C23" s="3" t="s">
        <v>151</v>
      </c>
      <c r="D23" s="3" t="s">
        <v>80</v>
      </c>
      <c r="E23" s="3" t="s">
        <v>152</v>
      </c>
      <c r="F23" s="3" t="s">
        <v>153</v>
      </c>
      <c r="G23" s="3" t="s">
        <v>154</v>
      </c>
      <c r="H23" s="3">
        <v>1955</v>
      </c>
      <c r="I23" s="3"/>
      <c r="J23" s="3" t="s">
        <v>155</v>
      </c>
    </row>
    <row r="24" spans="2:10" x14ac:dyDescent="0.25">
      <c r="B24" s="2" t="s">
        <v>160</v>
      </c>
      <c r="C24" s="3" t="s">
        <v>161</v>
      </c>
      <c r="D24" s="3" t="s">
        <v>162</v>
      </c>
      <c r="E24" s="3" t="s">
        <v>163</v>
      </c>
      <c r="F24" s="3" t="s">
        <v>164</v>
      </c>
      <c r="G24" s="3" t="s">
        <v>165</v>
      </c>
      <c r="H24" s="3">
        <v>1960</v>
      </c>
      <c r="I24" s="3">
        <v>1970</v>
      </c>
      <c r="J24" s="3" t="s">
        <v>166</v>
      </c>
    </row>
    <row r="25" spans="2:10" x14ac:dyDescent="0.25">
      <c r="B25" s="2" t="s">
        <v>178</v>
      </c>
      <c r="C25" s="3" t="s">
        <v>179</v>
      </c>
      <c r="D25" s="3" t="s">
        <v>180</v>
      </c>
      <c r="E25" s="3" t="s">
        <v>181</v>
      </c>
      <c r="F25" s="3" t="s">
        <v>182</v>
      </c>
      <c r="G25" s="3" t="s">
        <v>183</v>
      </c>
      <c r="H25" s="3">
        <v>1946</v>
      </c>
      <c r="I25" s="3"/>
      <c r="J25" s="3" t="s">
        <v>184</v>
      </c>
    </row>
    <row r="26" spans="2:10" x14ac:dyDescent="0.25">
      <c r="B26" s="2" t="s">
        <v>185</v>
      </c>
      <c r="C26" s="3" t="s">
        <v>186</v>
      </c>
      <c r="D26" s="3" t="s">
        <v>187</v>
      </c>
      <c r="E26" s="3" t="s">
        <v>188</v>
      </c>
      <c r="F26" s="3" t="s">
        <v>189</v>
      </c>
      <c r="G26" s="3" t="s">
        <v>190</v>
      </c>
      <c r="H26" s="3">
        <v>1932</v>
      </c>
      <c r="I26" s="3">
        <v>1936</v>
      </c>
      <c r="J26" s="3" t="s">
        <v>191</v>
      </c>
    </row>
    <row r="27" spans="2:10" x14ac:dyDescent="0.25">
      <c r="B27" s="2" t="s">
        <v>192</v>
      </c>
      <c r="C27" s="3" t="s">
        <v>193</v>
      </c>
      <c r="D27" s="3" t="s">
        <v>194</v>
      </c>
      <c r="E27" s="3" t="s">
        <v>195</v>
      </c>
      <c r="F27" s="3" t="s">
        <v>196</v>
      </c>
      <c r="G27" s="3" t="s">
        <v>197</v>
      </c>
      <c r="H27" s="3">
        <v>1945</v>
      </c>
      <c r="I27" s="3">
        <v>1952</v>
      </c>
      <c r="J27" s="3" t="s">
        <v>198</v>
      </c>
    </row>
    <row r="28" spans="2:10" x14ac:dyDescent="0.25">
      <c r="B28" s="2" t="s">
        <v>199</v>
      </c>
      <c r="C28" s="3" t="s">
        <v>200</v>
      </c>
      <c r="D28" s="3" t="s">
        <v>80</v>
      </c>
      <c r="E28" s="3" t="s">
        <v>201</v>
      </c>
      <c r="F28" s="3" t="s">
        <v>202</v>
      </c>
      <c r="G28" s="3" t="s">
        <v>203</v>
      </c>
      <c r="H28" s="3">
        <v>1961</v>
      </c>
      <c r="I28" s="3"/>
      <c r="J28" s="3" t="s">
        <v>204</v>
      </c>
    </row>
    <row r="29" spans="2:10" x14ac:dyDescent="0.25">
      <c r="B29" s="2" t="s">
        <v>205</v>
      </c>
      <c r="C29" s="3" t="s">
        <v>180</v>
      </c>
      <c r="D29" s="3" t="s">
        <v>180</v>
      </c>
      <c r="E29" s="3" t="s">
        <v>206</v>
      </c>
      <c r="F29" s="3" t="s">
        <v>207</v>
      </c>
      <c r="G29" s="3" t="s">
        <v>208</v>
      </c>
      <c r="H29" s="3">
        <v>1967</v>
      </c>
      <c r="I29" s="3"/>
      <c r="J29" s="3" t="s">
        <v>209</v>
      </c>
    </row>
    <row r="30" spans="2:10" x14ac:dyDescent="0.25">
      <c r="B30" s="2" t="s">
        <v>210</v>
      </c>
      <c r="C30" s="3" t="s">
        <v>211</v>
      </c>
      <c r="D30" s="3" t="s">
        <v>212</v>
      </c>
      <c r="E30" s="3" t="s">
        <v>213</v>
      </c>
      <c r="F30" s="3" t="s">
        <v>214</v>
      </c>
      <c r="G30" s="3" t="s">
        <v>215</v>
      </c>
      <c r="H30" s="3">
        <v>1957</v>
      </c>
      <c r="I30" s="3"/>
      <c r="J30" s="3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3FF1-B631-405D-ABE8-6FBD12F542E6}">
  <sheetPr filterMode="1"/>
  <dimension ref="B2:J45"/>
  <sheetViews>
    <sheetView topLeftCell="J1" workbookViewId="0">
      <selection activeCell="B14" sqref="B14:J14"/>
    </sheetView>
  </sheetViews>
  <sheetFormatPr defaultRowHeight="15" x14ac:dyDescent="0.25"/>
  <cols>
    <col min="2" max="2" width="52.28515625" bestFit="1" customWidth="1"/>
    <col min="3" max="3" width="27" bestFit="1" customWidth="1"/>
    <col min="4" max="4" width="22.7109375" bestFit="1" customWidth="1"/>
    <col min="5" max="5" width="23.42578125" bestFit="1" customWidth="1"/>
    <col min="6" max="6" width="11.140625" bestFit="1" customWidth="1"/>
    <col min="7" max="7" width="12.42578125" bestFit="1" customWidth="1"/>
    <col min="8" max="8" width="5" bestFit="1" customWidth="1"/>
    <col min="9" max="9" width="8.85546875" bestFit="1" customWidth="1"/>
    <col min="10" max="10" width="70.5703125" bestFit="1" customWidth="1"/>
  </cols>
  <sheetData>
    <row r="2" spans="2:10" x14ac:dyDescent="0.25"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225</v>
      </c>
      <c r="H2" s="1" t="s">
        <v>226</v>
      </c>
      <c r="I2" s="1" t="s">
        <v>227</v>
      </c>
      <c r="J2" s="1" t="s">
        <v>228</v>
      </c>
    </row>
    <row r="3" spans="2:10" hidden="1" x14ac:dyDescent="0.25">
      <c r="B3" s="2" t="s">
        <v>0</v>
      </c>
      <c r="C3" s="3" t="s">
        <v>1</v>
      </c>
      <c r="D3" s="3" t="s">
        <v>2</v>
      </c>
      <c r="E3" s="3"/>
      <c r="F3" s="3"/>
      <c r="G3" s="3"/>
      <c r="H3" s="3">
        <v>1998</v>
      </c>
      <c r="I3" s="3">
        <v>2008</v>
      </c>
      <c r="J3" s="3" t="s">
        <v>3</v>
      </c>
    </row>
    <row r="4" spans="2:10" x14ac:dyDescent="0.25">
      <c r="B4" s="2" t="s">
        <v>4</v>
      </c>
      <c r="C4" s="3" t="s">
        <v>5</v>
      </c>
      <c r="D4" s="3" t="s">
        <v>6</v>
      </c>
      <c r="E4" s="3"/>
      <c r="F4" s="3"/>
      <c r="G4" s="3"/>
      <c r="H4" s="3">
        <v>1997</v>
      </c>
      <c r="I4" s="3">
        <v>2009</v>
      </c>
      <c r="J4" s="3" t="s">
        <v>7</v>
      </c>
    </row>
    <row r="5" spans="2:10" x14ac:dyDescent="0.25">
      <c r="B5" s="2" t="s">
        <v>8</v>
      </c>
      <c r="C5" s="3"/>
      <c r="D5" s="3" t="s">
        <v>6</v>
      </c>
      <c r="E5" s="3"/>
      <c r="F5" s="3"/>
      <c r="G5" s="3"/>
      <c r="H5" s="3"/>
      <c r="I5" s="3"/>
      <c r="J5" s="3" t="s">
        <v>9</v>
      </c>
    </row>
    <row r="6" spans="2:10" x14ac:dyDescent="0.25">
      <c r="B6" s="2" t="s">
        <v>10</v>
      </c>
      <c r="C6" s="3" t="s">
        <v>11</v>
      </c>
      <c r="D6" s="3" t="s">
        <v>6</v>
      </c>
      <c r="E6" s="3" t="s">
        <v>12</v>
      </c>
      <c r="F6" s="3" t="s">
        <v>13</v>
      </c>
      <c r="G6" s="3" t="s">
        <v>14</v>
      </c>
      <c r="H6" s="3">
        <v>1973</v>
      </c>
      <c r="I6" s="3">
        <v>1981</v>
      </c>
      <c r="J6" s="3" t="s">
        <v>15</v>
      </c>
    </row>
    <row r="7" spans="2:10" hidden="1" x14ac:dyDescent="0.25">
      <c r="B7" s="2" t="s">
        <v>16</v>
      </c>
      <c r="C7" s="3"/>
      <c r="D7" s="3"/>
      <c r="E7" s="3"/>
      <c r="F7" s="3"/>
      <c r="G7" s="3"/>
      <c r="H7" s="3">
        <v>1998</v>
      </c>
      <c r="I7" s="3"/>
      <c r="J7" s="3" t="s">
        <v>17</v>
      </c>
    </row>
    <row r="8" spans="2:10" hidden="1" x14ac:dyDescent="0.25">
      <c r="B8" s="2" t="s">
        <v>18</v>
      </c>
      <c r="C8" s="3"/>
      <c r="D8" s="3" t="s">
        <v>19</v>
      </c>
      <c r="E8" s="3"/>
      <c r="F8" s="3"/>
      <c r="G8" s="3"/>
      <c r="H8" s="3">
        <v>2013</v>
      </c>
      <c r="I8" s="3"/>
      <c r="J8" s="3" t="s">
        <v>20</v>
      </c>
    </row>
    <row r="9" spans="2:10" x14ac:dyDescent="0.25">
      <c r="B9" s="2" t="s">
        <v>21</v>
      </c>
      <c r="C9" s="3" t="s">
        <v>22</v>
      </c>
      <c r="D9" s="3" t="s">
        <v>6</v>
      </c>
      <c r="E9" s="3" t="s">
        <v>23</v>
      </c>
      <c r="F9" s="3" t="s">
        <v>24</v>
      </c>
      <c r="G9" s="3" t="s">
        <v>25</v>
      </c>
      <c r="H9" s="3">
        <v>1966</v>
      </c>
      <c r="I9" s="3"/>
      <c r="J9" s="3" t="s">
        <v>26</v>
      </c>
    </row>
    <row r="10" spans="2:10" x14ac:dyDescent="0.25">
      <c r="B10" s="2" t="s">
        <v>27</v>
      </c>
      <c r="C10" s="3" t="s">
        <v>28</v>
      </c>
      <c r="D10" s="3" t="s">
        <v>6</v>
      </c>
      <c r="E10" s="3" t="s">
        <v>29</v>
      </c>
      <c r="F10" s="3" t="s">
        <v>30</v>
      </c>
      <c r="G10" s="3" t="s">
        <v>31</v>
      </c>
      <c r="H10" s="3">
        <v>1969</v>
      </c>
      <c r="I10" s="3"/>
      <c r="J10" s="3" t="s">
        <v>32</v>
      </c>
    </row>
    <row r="11" spans="2:10" x14ac:dyDescent="0.25">
      <c r="B11" s="2" t="s">
        <v>33</v>
      </c>
      <c r="C11" s="3" t="s">
        <v>34</v>
      </c>
      <c r="D11" s="3" t="s">
        <v>6</v>
      </c>
      <c r="E11" s="3" t="s">
        <v>35</v>
      </c>
      <c r="F11" s="3" t="s">
        <v>36</v>
      </c>
      <c r="G11" s="3" t="s">
        <v>37</v>
      </c>
      <c r="H11" s="3">
        <v>1936</v>
      </c>
      <c r="I11" s="3"/>
      <c r="J11" s="3" t="s">
        <v>38</v>
      </c>
    </row>
    <row r="12" spans="2:10" x14ac:dyDescent="0.25">
      <c r="B12" s="2" t="s">
        <v>39</v>
      </c>
      <c r="C12" s="3" t="s">
        <v>40</v>
      </c>
      <c r="D12" s="3" t="s">
        <v>6</v>
      </c>
      <c r="E12" s="3" t="s">
        <v>41</v>
      </c>
      <c r="F12" s="3" t="s">
        <v>42</v>
      </c>
      <c r="G12" s="3" t="s">
        <v>43</v>
      </c>
      <c r="H12" s="3">
        <v>1947</v>
      </c>
      <c r="I12" s="3">
        <v>1950</v>
      </c>
      <c r="J12" s="3" t="s">
        <v>44</v>
      </c>
    </row>
    <row r="13" spans="2:10" x14ac:dyDescent="0.25">
      <c r="B13" s="2" t="s">
        <v>45</v>
      </c>
      <c r="C13" s="3" t="s">
        <v>46</v>
      </c>
      <c r="D13" s="3" t="s">
        <v>6</v>
      </c>
      <c r="E13" s="3" t="s">
        <v>47</v>
      </c>
      <c r="F13" s="3" t="s">
        <v>48</v>
      </c>
      <c r="G13" s="3" t="s">
        <v>49</v>
      </c>
      <c r="H13" s="3">
        <v>1915</v>
      </c>
      <c r="I13" s="3">
        <v>1917</v>
      </c>
      <c r="J13" s="3" t="s">
        <v>50</v>
      </c>
    </row>
    <row r="14" spans="2:10" x14ac:dyDescent="0.25">
      <c r="B14" s="2" t="s">
        <v>51</v>
      </c>
      <c r="C14" s="3" t="s">
        <v>52</v>
      </c>
      <c r="D14" s="3" t="s">
        <v>6</v>
      </c>
      <c r="E14" s="3" t="s">
        <v>53</v>
      </c>
      <c r="F14" s="3" t="s">
        <v>54</v>
      </c>
      <c r="G14" s="3" t="s">
        <v>55</v>
      </c>
      <c r="H14" s="3">
        <v>1947</v>
      </c>
      <c r="I14" s="3">
        <v>1949</v>
      </c>
      <c r="J14" s="3" t="s">
        <v>56</v>
      </c>
    </row>
    <row r="15" spans="2:10" hidden="1" x14ac:dyDescent="0.25">
      <c r="B15" s="2" t="s">
        <v>57</v>
      </c>
      <c r="C15" s="3" t="s">
        <v>58</v>
      </c>
      <c r="D15" s="3" t="s">
        <v>59</v>
      </c>
      <c r="E15" s="3" t="s">
        <v>60</v>
      </c>
      <c r="F15" s="3" t="s">
        <v>61</v>
      </c>
      <c r="G15" s="3" t="s">
        <v>62</v>
      </c>
      <c r="H15" s="3">
        <v>1963</v>
      </c>
      <c r="I15" s="3"/>
      <c r="J15" s="3" t="s">
        <v>63</v>
      </c>
    </row>
    <row r="16" spans="2:10" hidden="1" x14ac:dyDescent="0.25">
      <c r="B16" s="2" t="s">
        <v>64</v>
      </c>
      <c r="C16" s="3" t="s">
        <v>65</v>
      </c>
      <c r="D16" s="3" t="s">
        <v>66</v>
      </c>
      <c r="E16" s="3" t="s">
        <v>67</v>
      </c>
      <c r="F16" s="3" t="s">
        <v>68</v>
      </c>
      <c r="G16" s="3" t="s">
        <v>69</v>
      </c>
      <c r="H16" s="3">
        <v>1945</v>
      </c>
      <c r="I16" s="3">
        <v>1947</v>
      </c>
      <c r="J16" s="3" t="s">
        <v>70</v>
      </c>
    </row>
    <row r="17" spans="2:10" hidden="1" x14ac:dyDescent="0.25">
      <c r="B17" s="2" t="s">
        <v>71</v>
      </c>
      <c r="C17" s="3" t="s">
        <v>72</v>
      </c>
      <c r="D17" s="3" t="s">
        <v>73</v>
      </c>
      <c r="E17" s="3" t="s">
        <v>74</v>
      </c>
      <c r="F17" s="3" t="s">
        <v>75</v>
      </c>
      <c r="G17" s="3" t="s">
        <v>76</v>
      </c>
      <c r="H17" s="3">
        <v>1985</v>
      </c>
      <c r="I17" s="3"/>
      <c r="J17" s="3" t="s">
        <v>77</v>
      </c>
    </row>
    <row r="18" spans="2:10" hidden="1" x14ac:dyDescent="0.25">
      <c r="B18" s="2" t="s">
        <v>78</v>
      </c>
      <c r="C18" s="3" t="s">
        <v>79</v>
      </c>
      <c r="D18" s="3" t="s">
        <v>80</v>
      </c>
      <c r="E18" s="3" t="s">
        <v>81</v>
      </c>
      <c r="F18" s="3" t="s">
        <v>82</v>
      </c>
      <c r="G18" s="3" t="s">
        <v>83</v>
      </c>
      <c r="H18" s="3">
        <v>1967</v>
      </c>
      <c r="I18" s="3"/>
      <c r="J18" s="3" t="s">
        <v>84</v>
      </c>
    </row>
    <row r="19" spans="2:10" hidden="1" x14ac:dyDescent="0.25">
      <c r="B19" s="2" t="s">
        <v>85</v>
      </c>
      <c r="C19" s="3" t="s">
        <v>86</v>
      </c>
      <c r="D19" s="3" t="s">
        <v>80</v>
      </c>
      <c r="E19" s="3" t="s">
        <v>87</v>
      </c>
      <c r="F19" s="3" t="s">
        <v>88</v>
      </c>
      <c r="G19" s="3" t="s">
        <v>89</v>
      </c>
      <c r="H19" s="3">
        <v>1955</v>
      </c>
      <c r="I19" s="3"/>
      <c r="J19" s="3" t="s">
        <v>90</v>
      </c>
    </row>
    <row r="20" spans="2:10" hidden="1" x14ac:dyDescent="0.25">
      <c r="B20" s="2" t="s">
        <v>91</v>
      </c>
      <c r="C20" s="3" t="s">
        <v>92</v>
      </c>
      <c r="D20" s="3" t="s">
        <v>80</v>
      </c>
      <c r="E20" s="3" t="s">
        <v>93</v>
      </c>
      <c r="F20" s="3" t="s">
        <v>94</v>
      </c>
      <c r="G20" s="3" t="s">
        <v>95</v>
      </c>
      <c r="H20" s="3">
        <v>1957</v>
      </c>
      <c r="I20" s="3">
        <v>1963</v>
      </c>
      <c r="J20" s="3" t="s">
        <v>96</v>
      </c>
    </row>
    <row r="21" spans="2:10" hidden="1" x14ac:dyDescent="0.25">
      <c r="B21" s="2" t="s">
        <v>97</v>
      </c>
      <c r="C21" s="3"/>
      <c r="D21" s="3" t="s">
        <v>98</v>
      </c>
      <c r="E21" s="3"/>
      <c r="F21" s="3"/>
      <c r="G21" s="3"/>
      <c r="H21" s="3">
        <v>1997</v>
      </c>
      <c r="I21" s="3"/>
      <c r="J21" s="3" t="s">
        <v>99</v>
      </c>
    </row>
    <row r="22" spans="2:10" hidden="1" x14ac:dyDescent="0.25">
      <c r="B22" s="2" t="s">
        <v>100</v>
      </c>
      <c r="C22" s="3"/>
      <c r="D22" s="3" t="s">
        <v>98</v>
      </c>
      <c r="E22" s="3"/>
      <c r="F22" s="3"/>
      <c r="G22" s="3"/>
      <c r="H22" s="3">
        <v>1982</v>
      </c>
      <c r="I22" s="3"/>
      <c r="J22" s="3" t="s">
        <v>101</v>
      </c>
    </row>
    <row r="23" spans="2:10" hidden="1" x14ac:dyDescent="0.25">
      <c r="B23" s="2" t="s">
        <v>102</v>
      </c>
      <c r="C23" s="3"/>
      <c r="D23" s="3" t="s">
        <v>103</v>
      </c>
      <c r="E23" s="3"/>
      <c r="F23" s="3"/>
      <c r="G23" s="3"/>
      <c r="H23" s="3">
        <v>1984</v>
      </c>
      <c r="I23" s="3">
        <v>1996</v>
      </c>
      <c r="J23" s="3" t="s">
        <v>104</v>
      </c>
    </row>
    <row r="24" spans="2:10" hidden="1" x14ac:dyDescent="0.25">
      <c r="B24" s="2" t="s">
        <v>105</v>
      </c>
      <c r="C24" s="3" t="s">
        <v>106</v>
      </c>
      <c r="D24" s="3" t="s">
        <v>107</v>
      </c>
      <c r="E24" s="3" t="s">
        <v>108</v>
      </c>
      <c r="F24" s="3" t="s">
        <v>109</v>
      </c>
      <c r="G24" s="3" t="s">
        <v>110</v>
      </c>
      <c r="H24" s="3">
        <v>1956</v>
      </c>
      <c r="I24" s="3">
        <v>1961</v>
      </c>
      <c r="J24" s="3" t="s">
        <v>111</v>
      </c>
    </row>
    <row r="25" spans="2:10" hidden="1" x14ac:dyDescent="0.25">
      <c r="B25" s="2" t="s">
        <v>112</v>
      </c>
      <c r="C25" s="3" t="s">
        <v>113</v>
      </c>
      <c r="D25" s="3" t="s">
        <v>107</v>
      </c>
      <c r="E25" s="3" t="s">
        <v>114</v>
      </c>
      <c r="F25" s="3" t="s">
        <v>115</v>
      </c>
      <c r="G25" s="3" t="s">
        <v>116</v>
      </c>
      <c r="H25" s="3">
        <v>1948</v>
      </c>
      <c r="I25" s="3"/>
      <c r="J25" s="3" t="s">
        <v>117</v>
      </c>
    </row>
    <row r="26" spans="2:10" hidden="1" x14ac:dyDescent="0.25">
      <c r="B26" s="2" t="s">
        <v>118</v>
      </c>
      <c r="C26" s="3" t="s">
        <v>119</v>
      </c>
      <c r="D26" s="3" t="s">
        <v>120</v>
      </c>
      <c r="E26" s="3" t="s">
        <v>121</v>
      </c>
      <c r="F26" s="3" t="s">
        <v>122</v>
      </c>
      <c r="G26" s="3" t="s">
        <v>123</v>
      </c>
      <c r="H26" s="3">
        <v>1963</v>
      </c>
      <c r="I26" s="3">
        <v>1965</v>
      </c>
      <c r="J26" s="3" t="s">
        <v>124</v>
      </c>
    </row>
    <row r="27" spans="2:10" hidden="1" x14ac:dyDescent="0.25">
      <c r="B27" s="2" t="s">
        <v>125</v>
      </c>
      <c r="C27" s="3" t="s">
        <v>119</v>
      </c>
      <c r="D27" s="3" t="s">
        <v>120</v>
      </c>
      <c r="E27" s="3" t="s">
        <v>126</v>
      </c>
      <c r="F27" s="3" t="s">
        <v>127</v>
      </c>
      <c r="G27" s="3" t="s">
        <v>128</v>
      </c>
      <c r="H27" s="3">
        <v>1965</v>
      </c>
      <c r="I27" s="3">
        <v>1969</v>
      </c>
      <c r="J27" s="3" t="s">
        <v>129</v>
      </c>
    </row>
    <row r="28" spans="2:10" hidden="1" x14ac:dyDescent="0.25">
      <c r="B28" s="2" t="s">
        <v>130</v>
      </c>
      <c r="C28" s="3" t="s">
        <v>131</v>
      </c>
      <c r="D28" s="3" t="s">
        <v>132</v>
      </c>
      <c r="E28" s="3" t="s">
        <v>133</v>
      </c>
      <c r="F28" s="3" t="s">
        <v>134</v>
      </c>
      <c r="G28" s="3" t="s">
        <v>135</v>
      </c>
      <c r="H28" s="3">
        <v>1961</v>
      </c>
      <c r="I28" s="3"/>
      <c r="J28" s="3" t="s">
        <v>136</v>
      </c>
    </row>
    <row r="29" spans="2:10" hidden="1" x14ac:dyDescent="0.25">
      <c r="B29" s="2" t="s">
        <v>137</v>
      </c>
      <c r="C29" s="3" t="s">
        <v>138</v>
      </c>
      <c r="D29" s="3" t="s">
        <v>73</v>
      </c>
      <c r="E29" s="3" t="s">
        <v>139</v>
      </c>
      <c r="F29" s="3" t="s">
        <v>140</v>
      </c>
      <c r="G29" s="3" t="s">
        <v>141</v>
      </c>
      <c r="H29" s="3">
        <v>1954</v>
      </c>
      <c r="I29" s="3">
        <v>1959</v>
      </c>
      <c r="J29" s="3" t="s">
        <v>142</v>
      </c>
    </row>
    <row r="30" spans="2:10" hidden="1" x14ac:dyDescent="0.25">
      <c r="B30" s="2" t="s">
        <v>143</v>
      </c>
      <c r="C30" s="3" t="s">
        <v>144</v>
      </c>
      <c r="D30" s="3" t="s">
        <v>145</v>
      </c>
      <c r="E30" s="3" t="s">
        <v>146</v>
      </c>
      <c r="F30" s="3" t="s">
        <v>147</v>
      </c>
      <c r="G30" s="3" t="s">
        <v>148</v>
      </c>
      <c r="H30" s="3">
        <v>1959</v>
      </c>
      <c r="I30" s="3">
        <v>1964</v>
      </c>
      <c r="J30" s="3" t="s">
        <v>149</v>
      </c>
    </row>
    <row r="31" spans="2:10" hidden="1" x14ac:dyDescent="0.25">
      <c r="B31" s="2" t="s">
        <v>150</v>
      </c>
      <c r="C31" s="3" t="s">
        <v>151</v>
      </c>
      <c r="D31" s="3" t="s">
        <v>80</v>
      </c>
      <c r="E31" s="3" t="s">
        <v>152</v>
      </c>
      <c r="F31" s="3" t="s">
        <v>153</v>
      </c>
      <c r="G31" s="3" t="s">
        <v>154</v>
      </c>
      <c r="H31" s="3">
        <v>1955</v>
      </c>
      <c r="I31" s="3"/>
      <c r="J31" s="3" t="s">
        <v>155</v>
      </c>
    </row>
    <row r="32" spans="2:10" hidden="1" x14ac:dyDescent="0.25">
      <c r="B32" s="2" t="s">
        <v>156</v>
      </c>
      <c r="C32" s="3"/>
      <c r="D32" s="3" t="s">
        <v>19</v>
      </c>
      <c r="E32" s="3"/>
      <c r="F32" s="3"/>
      <c r="G32" s="3"/>
      <c r="H32" s="3">
        <v>1994</v>
      </c>
      <c r="I32" s="3"/>
      <c r="J32" s="3" t="s">
        <v>157</v>
      </c>
    </row>
    <row r="33" spans="2:10" hidden="1" x14ac:dyDescent="0.25">
      <c r="B33" s="2" t="s">
        <v>158</v>
      </c>
      <c r="C33" s="3"/>
      <c r="D33" s="3" t="s">
        <v>145</v>
      </c>
      <c r="E33" s="3"/>
      <c r="F33" s="3"/>
      <c r="G33" s="3"/>
      <c r="H33" s="3">
        <v>2010</v>
      </c>
      <c r="I33" s="3"/>
      <c r="J33" s="3" t="s">
        <v>159</v>
      </c>
    </row>
    <row r="34" spans="2:10" hidden="1" x14ac:dyDescent="0.25">
      <c r="B34" s="2" t="s">
        <v>160</v>
      </c>
      <c r="C34" s="3" t="s">
        <v>161</v>
      </c>
      <c r="D34" s="3" t="s">
        <v>162</v>
      </c>
      <c r="E34" s="3" t="s">
        <v>163</v>
      </c>
      <c r="F34" s="3" t="s">
        <v>164</v>
      </c>
      <c r="G34" s="3" t="s">
        <v>165</v>
      </c>
      <c r="H34" s="3">
        <v>1960</v>
      </c>
      <c r="I34" s="3">
        <v>1970</v>
      </c>
      <c r="J34" s="3" t="s">
        <v>166</v>
      </c>
    </row>
    <row r="35" spans="2:10" hidden="1" x14ac:dyDescent="0.25">
      <c r="B35" s="2" t="s">
        <v>167</v>
      </c>
      <c r="C35" s="3"/>
      <c r="D35" s="3" t="s">
        <v>168</v>
      </c>
      <c r="E35" s="3"/>
      <c r="F35" s="3"/>
      <c r="G35" s="3"/>
      <c r="H35" s="3">
        <v>1871</v>
      </c>
      <c r="I35" s="3"/>
      <c r="J35" s="3" t="s">
        <v>169</v>
      </c>
    </row>
    <row r="36" spans="2:10" hidden="1" x14ac:dyDescent="0.25">
      <c r="B36" s="2" t="s">
        <v>170</v>
      </c>
      <c r="C36" s="3"/>
      <c r="D36" s="3" t="s">
        <v>80</v>
      </c>
      <c r="E36" s="3"/>
      <c r="F36" s="3"/>
      <c r="G36" s="3"/>
      <c r="H36" s="3">
        <v>1839</v>
      </c>
      <c r="I36" s="3"/>
      <c r="J36" s="3" t="s">
        <v>171</v>
      </c>
    </row>
    <row r="37" spans="2:10" hidden="1" x14ac:dyDescent="0.25">
      <c r="B37" s="2" t="s">
        <v>172</v>
      </c>
      <c r="C37" s="3"/>
      <c r="D37" s="3" t="s">
        <v>173</v>
      </c>
      <c r="E37" s="3"/>
      <c r="F37" s="3"/>
      <c r="G37" s="3"/>
      <c r="H37" s="3">
        <v>1898</v>
      </c>
      <c r="I37" s="3"/>
      <c r="J37" s="3" t="s">
        <v>174</v>
      </c>
    </row>
    <row r="38" spans="2:10" hidden="1" x14ac:dyDescent="0.25">
      <c r="B38" s="2" t="s">
        <v>175</v>
      </c>
      <c r="C38" s="3" t="s">
        <v>176</v>
      </c>
      <c r="D38" s="3" t="s">
        <v>145</v>
      </c>
      <c r="E38" s="3"/>
      <c r="F38" s="3"/>
      <c r="G38" s="3"/>
      <c r="H38" s="3">
        <v>1979</v>
      </c>
      <c r="I38" s="3"/>
      <c r="J38" s="3" t="s">
        <v>177</v>
      </c>
    </row>
    <row r="39" spans="2:10" hidden="1" x14ac:dyDescent="0.25">
      <c r="B39" s="2" t="s">
        <v>178</v>
      </c>
      <c r="C39" s="3" t="s">
        <v>179</v>
      </c>
      <c r="D39" s="3" t="s">
        <v>180</v>
      </c>
      <c r="E39" s="3" t="s">
        <v>181</v>
      </c>
      <c r="F39" s="3" t="s">
        <v>182</v>
      </c>
      <c r="G39" s="3" t="s">
        <v>183</v>
      </c>
      <c r="H39" s="3">
        <v>1946</v>
      </c>
      <c r="I39" s="3"/>
      <c r="J39" s="3" t="s">
        <v>184</v>
      </c>
    </row>
    <row r="40" spans="2:10" hidden="1" x14ac:dyDescent="0.25">
      <c r="B40" s="2" t="s">
        <v>185</v>
      </c>
      <c r="C40" s="3" t="s">
        <v>186</v>
      </c>
      <c r="D40" s="3" t="s">
        <v>187</v>
      </c>
      <c r="E40" s="3" t="s">
        <v>188</v>
      </c>
      <c r="F40" s="3" t="s">
        <v>189</v>
      </c>
      <c r="G40" s="3" t="s">
        <v>190</v>
      </c>
      <c r="H40" s="3">
        <v>1932</v>
      </c>
      <c r="I40" s="3">
        <v>1936</v>
      </c>
      <c r="J40" s="3" t="s">
        <v>191</v>
      </c>
    </row>
    <row r="41" spans="2:10" hidden="1" x14ac:dyDescent="0.25">
      <c r="B41" s="2" t="s">
        <v>192</v>
      </c>
      <c r="C41" s="3" t="s">
        <v>193</v>
      </c>
      <c r="D41" s="3" t="s">
        <v>194</v>
      </c>
      <c r="E41" s="3" t="s">
        <v>195</v>
      </c>
      <c r="F41" s="3" t="s">
        <v>196</v>
      </c>
      <c r="G41" s="3" t="s">
        <v>197</v>
      </c>
      <c r="H41" s="3">
        <v>1945</v>
      </c>
      <c r="I41" s="3">
        <v>1952</v>
      </c>
      <c r="J41" s="3" t="s">
        <v>198</v>
      </c>
    </row>
    <row r="42" spans="2:10" hidden="1" x14ac:dyDescent="0.25">
      <c r="B42" s="2" t="s">
        <v>199</v>
      </c>
      <c r="C42" s="3" t="s">
        <v>200</v>
      </c>
      <c r="D42" s="3" t="s">
        <v>80</v>
      </c>
      <c r="E42" s="3" t="s">
        <v>201</v>
      </c>
      <c r="F42" s="3" t="s">
        <v>202</v>
      </c>
      <c r="G42" s="3" t="s">
        <v>203</v>
      </c>
      <c r="H42" s="3">
        <v>1961</v>
      </c>
      <c r="I42" s="3"/>
      <c r="J42" s="3" t="s">
        <v>204</v>
      </c>
    </row>
    <row r="43" spans="2:10" hidden="1" x14ac:dyDescent="0.25">
      <c r="B43" s="2" t="s">
        <v>205</v>
      </c>
      <c r="C43" s="3" t="s">
        <v>180</v>
      </c>
      <c r="D43" s="3" t="s">
        <v>180</v>
      </c>
      <c r="E43" s="3" t="s">
        <v>206</v>
      </c>
      <c r="F43" s="3" t="s">
        <v>207</v>
      </c>
      <c r="G43" s="3" t="s">
        <v>208</v>
      </c>
      <c r="H43" s="3">
        <v>1967</v>
      </c>
      <c r="I43" s="3"/>
      <c r="J43" s="3" t="s">
        <v>209</v>
      </c>
    </row>
    <row r="44" spans="2:10" hidden="1" x14ac:dyDescent="0.25">
      <c r="B44" s="2" t="s">
        <v>210</v>
      </c>
      <c r="C44" s="3" t="s">
        <v>211</v>
      </c>
      <c r="D44" s="3" t="s">
        <v>212</v>
      </c>
      <c r="E44" s="3" t="s">
        <v>213</v>
      </c>
      <c r="F44" s="3" t="s">
        <v>214</v>
      </c>
      <c r="G44" s="3" t="s">
        <v>215</v>
      </c>
      <c r="H44" s="3">
        <v>1957</v>
      </c>
      <c r="I44" s="3"/>
      <c r="J44" s="3" t="s">
        <v>216</v>
      </c>
    </row>
    <row r="45" spans="2:10" hidden="1" x14ac:dyDescent="0.25">
      <c r="B45" s="2" t="s">
        <v>217</v>
      </c>
      <c r="C45" s="3"/>
      <c r="D45" s="3" t="s">
        <v>218</v>
      </c>
      <c r="E45" s="3"/>
      <c r="F45" s="3"/>
      <c r="G45" s="3"/>
      <c r="H45" s="3"/>
      <c r="I45" s="3">
        <v>1981</v>
      </c>
      <c r="J45" s="3" t="s">
        <v>219</v>
      </c>
    </row>
  </sheetData>
  <autoFilter ref="B2:J45" xr:uid="{FE443FF1-B631-405D-ABE8-6FBD12F542E6}">
    <filterColumn colId="2">
      <filters>
        <filter val="United States of Americ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4244-C9CB-45B1-B0AC-84457E90C4D0}">
  <dimension ref="A2:L46"/>
  <sheetViews>
    <sheetView tabSelected="1" topLeftCell="E1" workbookViewId="0">
      <selection activeCell="I8" sqref="I8"/>
    </sheetView>
  </sheetViews>
  <sheetFormatPr defaultRowHeight="15" x14ac:dyDescent="0.25"/>
  <cols>
    <col min="1" max="1" width="34.42578125" bestFit="1" customWidth="1"/>
    <col min="3" max="3" width="26.85546875" bestFit="1" customWidth="1"/>
    <col min="4" max="4" width="57.85546875" bestFit="1" customWidth="1"/>
    <col min="5" max="5" width="22.7109375" bestFit="1" customWidth="1"/>
    <col min="6" max="6" width="23.5703125" bestFit="1" customWidth="1"/>
    <col min="7" max="7" width="8.42578125" bestFit="1" customWidth="1"/>
    <col min="8" max="8" width="10" bestFit="1" customWidth="1"/>
    <col min="9" max="9" width="5" bestFit="1" customWidth="1"/>
    <col min="10" max="10" width="8.85546875" bestFit="1" customWidth="1"/>
    <col min="11" max="11" width="54.85546875" bestFit="1" customWidth="1"/>
    <col min="12" max="12" width="90.140625" bestFit="1" customWidth="1"/>
  </cols>
  <sheetData>
    <row r="2" spans="1:12" x14ac:dyDescent="0.25">
      <c r="B2" s="1" t="s">
        <v>297</v>
      </c>
      <c r="C2" s="1" t="s">
        <v>220</v>
      </c>
      <c r="D2" s="1" t="s">
        <v>221</v>
      </c>
      <c r="E2" s="1" t="s">
        <v>222</v>
      </c>
      <c r="F2" s="1" t="s">
        <v>223</v>
      </c>
      <c r="G2" s="1" t="s">
        <v>224</v>
      </c>
      <c r="H2" s="1" t="s">
        <v>225</v>
      </c>
      <c r="I2" s="1" t="s">
        <v>226</v>
      </c>
      <c r="J2" s="1" t="s">
        <v>227</v>
      </c>
      <c r="K2" s="1" t="s">
        <v>228</v>
      </c>
      <c r="L2" s="1" t="s">
        <v>233</v>
      </c>
    </row>
    <row r="3" spans="1:12" x14ac:dyDescent="0.25">
      <c r="B3" s="3">
        <v>1</v>
      </c>
      <c r="C3" s="2" t="s">
        <v>229</v>
      </c>
      <c r="D3" s="3" t="s">
        <v>230</v>
      </c>
      <c r="E3" s="3" t="s">
        <v>6</v>
      </c>
      <c r="F3" s="3" t="s">
        <v>231</v>
      </c>
      <c r="G3" s="3"/>
      <c r="H3" s="3"/>
      <c r="I3" s="3">
        <v>1946</v>
      </c>
      <c r="J3" s="3"/>
      <c r="K3" s="3" t="s">
        <v>232</v>
      </c>
      <c r="L3" s="4" t="s">
        <v>234</v>
      </c>
    </row>
    <row r="4" spans="1:12" x14ac:dyDescent="0.25">
      <c r="A4" s="2"/>
      <c r="B4" s="3">
        <f>B3+1</f>
        <v>2</v>
      </c>
      <c r="C4" s="2" t="s">
        <v>235</v>
      </c>
      <c r="D4" s="3" t="s">
        <v>237</v>
      </c>
      <c r="E4" s="3" t="s">
        <v>6</v>
      </c>
      <c r="F4" s="3" t="s">
        <v>238</v>
      </c>
      <c r="G4" s="3"/>
      <c r="H4" s="3"/>
      <c r="I4" s="3">
        <v>1942</v>
      </c>
      <c r="J4" s="3">
        <v>1943</v>
      </c>
      <c r="K4" s="5" t="s">
        <v>239</v>
      </c>
      <c r="L4" s="4" t="s">
        <v>236</v>
      </c>
    </row>
    <row r="5" spans="1:12" x14ac:dyDescent="0.25">
      <c r="A5" s="2"/>
      <c r="B5" s="3">
        <f t="shared" ref="B5:B46" si="0">B4+1</f>
        <v>3</v>
      </c>
      <c r="C5" t="s">
        <v>240</v>
      </c>
      <c r="D5" s="3" t="s">
        <v>242</v>
      </c>
      <c r="E5" s="3" t="s">
        <v>6</v>
      </c>
      <c r="F5" s="3" t="s">
        <v>243</v>
      </c>
      <c r="G5" s="3"/>
      <c r="H5" s="3"/>
      <c r="I5" s="3">
        <v>1942</v>
      </c>
      <c r="J5" s="3">
        <v>1943</v>
      </c>
      <c r="K5" s="3" t="s">
        <v>241</v>
      </c>
      <c r="L5" s="4" t="s">
        <v>236</v>
      </c>
    </row>
    <row r="6" spans="1:12" x14ac:dyDescent="0.25">
      <c r="A6" s="2"/>
      <c r="B6" s="3">
        <f t="shared" si="0"/>
        <v>4</v>
      </c>
      <c r="C6" s="2" t="s">
        <v>244</v>
      </c>
      <c r="D6" s="3" t="s">
        <v>245</v>
      </c>
      <c r="E6" s="3" t="s">
        <v>6</v>
      </c>
      <c r="F6" s="3" t="s">
        <v>246</v>
      </c>
      <c r="G6" s="3"/>
      <c r="H6" s="3"/>
      <c r="I6" s="3">
        <v>1931</v>
      </c>
      <c r="J6" s="3"/>
      <c r="K6" s="3" t="s">
        <v>247</v>
      </c>
      <c r="L6" s="4" t="s">
        <v>248</v>
      </c>
    </row>
    <row r="7" spans="1:12" x14ac:dyDescent="0.25">
      <c r="A7" s="2"/>
      <c r="B7" s="3">
        <f t="shared" si="0"/>
        <v>5</v>
      </c>
      <c r="C7" s="2" t="s">
        <v>249</v>
      </c>
      <c r="D7" s="3" t="s">
        <v>250</v>
      </c>
      <c r="E7" s="3" t="s">
        <v>6</v>
      </c>
      <c r="F7" s="3" t="s">
        <v>251</v>
      </c>
      <c r="G7" s="3"/>
      <c r="H7" s="3"/>
      <c r="I7" s="3">
        <v>1952</v>
      </c>
      <c r="J7" s="3"/>
      <c r="K7" s="5" t="s">
        <v>252</v>
      </c>
      <c r="L7" s="4" t="s">
        <v>404</v>
      </c>
    </row>
    <row r="8" spans="1:12" x14ac:dyDescent="0.25">
      <c r="A8" s="2"/>
      <c r="B8" s="3">
        <f t="shared" si="0"/>
        <v>6</v>
      </c>
      <c r="C8" s="2" t="s">
        <v>27</v>
      </c>
      <c r="D8" s="3" t="s">
        <v>254</v>
      </c>
      <c r="E8" s="3" t="s">
        <v>6</v>
      </c>
      <c r="F8" s="3" t="s">
        <v>253</v>
      </c>
      <c r="G8" s="3"/>
      <c r="H8" s="3"/>
      <c r="I8" s="3">
        <v>1966</v>
      </c>
      <c r="J8" s="3">
        <v>1967</v>
      </c>
      <c r="K8" s="5" t="s">
        <v>32</v>
      </c>
      <c r="L8" s="4" t="s">
        <v>255</v>
      </c>
    </row>
    <row r="9" spans="1:12" x14ac:dyDescent="0.25">
      <c r="A9" s="2"/>
      <c r="B9" s="3">
        <f t="shared" si="0"/>
        <v>7</v>
      </c>
      <c r="C9" s="2" t="s">
        <v>39</v>
      </c>
      <c r="D9" s="3" t="s">
        <v>256</v>
      </c>
      <c r="E9" s="3" t="s">
        <v>6</v>
      </c>
      <c r="F9" s="3" t="s">
        <v>41</v>
      </c>
      <c r="G9" s="3"/>
      <c r="H9" s="3"/>
      <c r="I9" s="3">
        <v>1947</v>
      </c>
      <c r="J9" s="3">
        <v>1950</v>
      </c>
      <c r="K9" s="3" t="s">
        <v>44</v>
      </c>
      <c r="L9" s="4" t="s">
        <v>257</v>
      </c>
    </row>
    <row r="10" spans="1:12" x14ac:dyDescent="0.25">
      <c r="A10" s="2"/>
      <c r="B10" s="3">
        <f t="shared" si="0"/>
        <v>8</v>
      </c>
      <c r="C10" s="2" t="s">
        <v>258</v>
      </c>
      <c r="D10" s="3" t="s">
        <v>259</v>
      </c>
      <c r="E10" s="3" t="s">
        <v>6</v>
      </c>
      <c r="F10" s="3" t="s">
        <v>260</v>
      </c>
      <c r="G10" s="3"/>
      <c r="H10" s="3"/>
      <c r="I10" s="3">
        <v>1949</v>
      </c>
      <c r="J10" s="3"/>
      <c r="K10" s="3" t="s">
        <v>261</v>
      </c>
      <c r="L10" s="4" t="s">
        <v>262</v>
      </c>
    </row>
    <row r="11" spans="1:12" x14ac:dyDescent="0.25">
      <c r="A11" s="2"/>
      <c r="B11" s="3">
        <f t="shared" si="0"/>
        <v>9</v>
      </c>
      <c r="C11" s="2" t="s">
        <v>264</v>
      </c>
      <c r="D11" s="3" t="s">
        <v>266</v>
      </c>
      <c r="E11" s="3" t="s">
        <v>6</v>
      </c>
      <c r="F11" s="3" t="s">
        <v>267</v>
      </c>
      <c r="G11" s="3"/>
      <c r="H11" s="3"/>
      <c r="I11" s="3">
        <v>1949</v>
      </c>
      <c r="J11" s="3"/>
      <c r="K11" s="3" t="s">
        <v>265</v>
      </c>
      <c r="L11" s="4" t="s">
        <v>263</v>
      </c>
    </row>
    <row r="12" spans="1:12" x14ac:dyDescent="0.25">
      <c r="A12" s="2"/>
      <c r="B12" s="3">
        <f t="shared" si="0"/>
        <v>10</v>
      </c>
      <c r="C12" s="2" t="s">
        <v>268</v>
      </c>
      <c r="D12" s="3" t="s">
        <v>271</v>
      </c>
      <c r="E12" s="3" t="s">
        <v>6</v>
      </c>
      <c r="F12" s="3" t="s">
        <v>272</v>
      </c>
      <c r="G12" s="3"/>
      <c r="H12" s="3"/>
      <c r="I12" s="3">
        <v>1943</v>
      </c>
      <c r="J12" s="3"/>
      <c r="K12" s="5" t="s">
        <v>270</v>
      </c>
      <c r="L12" s="4" t="s">
        <v>269</v>
      </c>
    </row>
    <row r="13" spans="1:12" x14ac:dyDescent="0.25">
      <c r="B13" s="3">
        <f t="shared" si="0"/>
        <v>11</v>
      </c>
      <c r="C13" s="2" t="s">
        <v>273</v>
      </c>
      <c r="D13" s="3" t="s">
        <v>274</v>
      </c>
      <c r="E13" s="3" t="s">
        <v>6</v>
      </c>
      <c r="F13" s="3" t="s">
        <v>275</v>
      </c>
      <c r="G13" s="3"/>
      <c r="H13" s="3"/>
      <c r="I13" s="3">
        <v>1951</v>
      </c>
      <c r="J13" s="3">
        <v>1951</v>
      </c>
      <c r="K13" s="3" t="s">
        <v>276</v>
      </c>
      <c r="L13" s="4" t="s">
        <v>277</v>
      </c>
    </row>
    <row r="14" spans="1:12" x14ac:dyDescent="0.25">
      <c r="B14" s="3">
        <f t="shared" si="0"/>
        <v>12</v>
      </c>
      <c r="C14" s="2" t="s">
        <v>278</v>
      </c>
      <c r="D14" s="3" t="s">
        <v>279</v>
      </c>
      <c r="E14" s="3" t="s">
        <v>6</v>
      </c>
      <c r="F14" s="3" t="s">
        <v>280</v>
      </c>
      <c r="G14" s="3"/>
      <c r="H14" s="3"/>
      <c r="I14" s="3">
        <v>1974</v>
      </c>
      <c r="J14" s="3">
        <v>1977</v>
      </c>
      <c r="K14" s="5" t="s">
        <v>281</v>
      </c>
      <c r="L14" s="4" t="s">
        <v>282</v>
      </c>
    </row>
    <row r="15" spans="1:12" x14ac:dyDescent="0.25">
      <c r="B15" s="3">
        <f t="shared" si="0"/>
        <v>13</v>
      </c>
      <c r="C15" s="2" t="s">
        <v>21</v>
      </c>
      <c r="D15" s="3" t="s">
        <v>22</v>
      </c>
      <c r="E15" s="3" t="s">
        <v>6</v>
      </c>
      <c r="F15" s="3" t="s">
        <v>283</v>
      </c>
      <c r="G15" s="3"/>
      <c r="H15" s="3"/>
      <c r="I15" s="3">
        <v>1962</v>
      </c>
      <c r="J15" s="3">
        <v>1966</v>
      </c>
      <c r="K15" s="3" t="s">
        <v>26</v>
      </c>
      <c r="L15" s="7" t="s">
        <v>284</v>
      </c>
    </row>
    <row r="16" spans="1:12" x14ac:dyDescent="0.25">
      <c r="B16" s="3">
        <f t="shared" si="0"/>
        <v>14</v>
      </c>
      <c r="C16" s="2" t="s">
        <v>285</v>
      </c>
      <c r="D16" s="3" t="s">
        <v>286</v>
      </c>
      <c r="E16" s="3" t="s">
        <v>6</v>
      </c>
      <c r="F16" s="3" t="s">
        <v>287</v>
      </c>
      <c r="G16" s="3"/>
      <c r="H16" s="3"/>
      <c r="I16" s="3">
        <v>1987</v>
      </c>
      <c r="J16" s="3">
        <v>1994</v>
      </c>
      <c r="K16" s="5" t="s">
        <v>288</v>
      </c>
      <c r="L16" s="4"/>
    </row>
    <row r="17" spans="2:12" x14ac:dyDescent="0.25">
      <c r="B17" s="3">
        <f t="shared" si="0"/>
        <v>15</v>
      </c>
      <c r="C17" s="2" t="s">
        <v>289</v>
      </c>
      <c r="D17" s="3" t="s">
        <v>237</v>
      </c>
      <c r="E17" s="3" t="s">
        <v>6</v>
      </c>
      <c r="F17" s="3" t="s">
        <v>292</v>
      </c>
      <c r="G17" s="3"/>
      <c r="H17" s="3"/>
      <c r="I17" s="3">
        <v>1961</v>
      </c>
      <c r="J17" s="3">
        <v>1965</v>
      </c>
      <c r="K17" s="5" t="s">
        <v>291</v>
      </c>
      <c r="L17" s="4" t="s">
        <v>290</v>
      </c>
    </row>
    <row r="18" spans="2:12" x14ac:dyDescent="0.25">
      <c r="B18" s="3">
        <f t="shared" si="0"/>
        <v>16</v>
      </c>
      <c r="C18" s="2" t="s">
        <v>293</v>
      </c>
      <c r="D18" s="3" t="s">
        <v>295</v>
      </c>
      <c r="E18" s="3" t="s">
        <v>6</v>
      </c>
      <c r="F18" s="3" t="s">
        <v>298</v>
      </c>
      <c r="G18" s="3"/>
      <c r="H18" s="3"/>
      <c r="I18" s="3">
        <v>1994</v>
      </c>
      <c r="J18" s="3"/>
      <c r="K18" s="5" t="s">
        <v>300</v>
      </c>
      <c r="L18" s="4" t="s">
        <v>301</v>
      </c>
    </row>
    <row r="19" spans="2:12" x14ac:dyDescent="0.25">
      <c r="B19" s="3">
        <f t="shared" si="0"/>
        <v>17</v>
      </c>
      <c r="C19" s="2" t="s">
        <v>294</v>
      </c>
      <c r="D19" s="3" t="s">
        <v>296</v>
      </c>
      <c r="E19" s="3" t="s">
        <v>6</v>
      </c>
      <c r="F19" s="3" t="s">
        <v>299</v>
      </c>
      <c r="G19" s="3"/>
      <c r="H19" s="3"/>
      <c r="I19" s="3">
        <v>1994</v>
      </c>
      <c r="J19" s="3"/>
      <c r="K19" s="5" t="s">
        <v>300</v>
      </c>
      <c r="L19" s="4" t="s">
        <v>301</v>
      </c>
    </row>
    <row r="20" spans="2:12" x14ac:dyDescent="0.25">
      <c r="B20" s="3">
        <f t="shared" si="0"/>
        <v>18</v>
      </c>
      <c r="C20" s="2" t="s">
        <v>302</v>
      </c>
      <c r="D20" s="3" t="s">
        <v>303</v>
      </c>
      <c r="E20" s="3" t="s">
        <v>6</v>
      </c>
      <c r="F20" s="3" t="s">
        <v>304</v>
      </c>
      <c r="G20" s="3"/>
      <c r="H20" s="3"/>
      <c r="I20" s="3">
        <v>1956</v>
      </c>
      <c r="J20" s="3">
        <v>1958</v>
      </c>
      <c r="K20" s="5" t="s">
        <v>305</v>
      </c>
      <c r="L20" s="4" t="s">
        <v>306</v>
      </c>
    </row>
    <row r="21" spans="2:12" x14ac:dyDescent="0.25">
      <c r="B21" s="3">
        <f t="shared" si="0"/>
        <v>19</v>
      </c>
      <c r="C21" s="2" t="s">
        <v>10</v>
      </c>
      <c r="D21" s="3" t="s">
        <v>11</v>
      </c>
      <c r="E21" s="3" t="s">
        <v>6</v>
      </c>
      <c r="F21" s="3" t="s">
        <v>307</v>
      </c>
      <c r="G21" s="3"/>
      <c r="H21" s="3"/>
      <c r="I21" s="3">
        <v>1973</v>
      </c>
      <c r="J21" s="3">
        <v>1981</v>
      </c>
      <c r="K21" s="3" t="s">
        <v>15</v>
      </c>
      <c r="L21" s="4" t="s">
        <v>308</v>
      </c>
    </row>
    <row r="22" spans="2:12" x14ac:dyDescent="0.25">
      <c r="B22" s="3">
        <f>B21+1</f>
        <v>20</v>
      </c>
      <c r="C22" s="2" t="s">
        <v>310</v>
      </c>
      <c r="D22" s="3" t="s">
        <v>311</v>
      </c>
      <c r="E22" s="3" t="s">
        <v>6</v>
      </c>
      <c r="F22" s="3" t="s">
        <v>312</v>
      </c>
      <c r="G22" s="3"/>
      <c r="H22" s="3"/>
      <c r="I22" s="3">
        <v>1986</v>
      </c>
      <c r="J22" s="3">
        <v>1993</v>
      </c>
      <c r="K22" s="5" t="s">
        <v>309</v>
      </c>
      <c r="L22" s="4"/>
    </row>
    <row r="23" spans="2:12" x14ac:dyDescent="0.25">
      <c r="B23" s="3">
        <f t="shared" si="0"/>
        <v>21</v>
      </c>
      <c r="C23" s="2" t="s">
        <v>313</v>
      </c>
      <c r="D23" s="3" t="s">
        <v>315</v>
      </c>
      <c r="E23" s="3" t="s">
        <v>6</v>
      </c>
      <c r="F23" s="3" t="s">
        <v>314</v>
      </c>
      <c r="G23" s="3"/>
      <c r="H23" s="3"/>
      <c r="I23" s="3">
        <v>1960</v>
      </c>
      <c r="J23" s="3">
        <v>1964</v>
      </c>
      <c r="K23" s="5" t="s">
        <v>317</v>
      </c>
      <c r="L23" s="4" t="s">
        <v>316</v>
      </c>
    </row>
    <row r="24" spans="2:12" x14ac:dyDescent="0.25">
      <c r="B24" s="3">
        <f t="shared" si="0"/>
        <v>22</v>
      </c>
      <c r="C24" s="2" t="s">
        <v>45</v>
      </c>
      <c r="D24" s="3" t="s">
        <v>46</v>
      </c>
      <c r="E24" s="3" t="s">
        <v>6</v>
      </c>
      <c r="F24" s="3" t="s">
        <v>318</v>
      </c>
      <c r="G24" s="3"/>
      <c r="H24" s="3"/>
      <c r="I24" s="3">
        <v>1908</v>
      </c>
      <c r="J24" s="3">
        <v>1917</v>
      </c>
      <c r="K24" s="3" t="s">
        <v>50</v>
      </c>
      <c r="L24" s="4" t="s">
        <v>319</v>
      </c>
    </row>
    <row r="25" spans="2:12" x14ac:dyDescent="0.25">
      <c r="B25" s="3">
        <f t="shared" si="0"/>
        <v>23</v>
      </c>
      <c r="C25" s="2" t="s">
        <v>321</v>
      </c>
      <c r="D25" s="6" t="s">
        <v>320</v>
      </c>
      <c r="E25" s="3" t="s">
        <v>6</v>
      </c>
      <c r="F25" s="3" t="s">
        <v>322</v>
      </c>
      <c r="G25" s="3"/>
      <c r="H25" s="3"/>
      <c r="I25" s="3">
        <v>1963</v>
      </c>
      <c r="J25" s="3">
        <v>1965</v>
      </c>
      <c r="K25" s="5" t="s">
        <v>323</v>
      </c>
      <c r="L25" s="4"/>
    </row>
    <row r="26" spans="2:12" x14ac:dyDescent="0.25">
      <c r="B26" s="3">
        <f t="shared" si="0"/>
        <v>24</v>
      </c>
      <c r="C26" s="2" t="s">
        <v>324</v>
      </c>
      <c r="D26" s="3" t="s">
        <v>325</v>
      </c>
      <c r="E26" s="3" t="s">
        <v>6</v>
      </c>
      <c r="F26" s="3" t="s">
        <v>326</v>
      </c>
      <c r="G26" s="3"/>
      <c r="H26" s="3"/>
      <c r="I26" s="3">
        <v>1963</v>
      </c>
      <c r="J26" s="3"/>
      <c r="K26" s="5" t="s">
        <v>327</v>
      </c>
      <c r="L26" s="4"/>
    </row>
    <row r="27" spans="2:12" x14ac:dyDescent="0.25">
      <c r="B27" s="3">
        <f t="shared" si="0"/>
        <v>25</v>
      </c>
      <c r="C27" s="2" t="s">
        <v>328</v>
      </c>
      <c r="D27" s="3" t="s">
        <v>329</v>
      </c>
      <c r="E27" s="3" t="s">
        <v>6</v>
      </c>
      <c r="F27" s="3" t="s">
        <v>330</v>
      </c>
      <c r="G27" s="3"/>
      <c r="H27" s="3"/>
      <c r="I27" s="3">
        <v>1959</v>
      </c>
      <c r="J27" s="3"/>
      <c r="K27" s="5" t="s">
        <v>331</v>
      </c>
      <c r="L27" s="7" t="s">
        <v>332</v>
      </c>
    </row>
    <row r="28" spans="2:12" x14ac:dyDescent="0.25">
      <c r="B28" s="3">
        <f t="shared" si="0"/>
        <v>26</v>
      </c>
      <c r="C28" s="2" t="s">
        <v>33</v>
      </c>
      <c r="D28" s="3" t="s">
        <v>34</v>
      </c>
      <c r="E28" s="3" t="s">
        <v>6</v>
      </c>
      <c r="F28" s="3" t="s">
        <v>333</v>
      </c>
      <c r="G28" s="3"/>
      <c r="H28" s="3"/>
      <c r="I28" s="3">
        <v>1936</v>
      </c>
      <c r="J28" s="3"/>
      <c r="K28" s="3" t="s">
        <v>38</v>
      </c>
      <c r="L28" s="4"/>
    </row>
    <row r="29" spans="2:12" x14ac:dyDescent="0.25">
      <c r="B29" s="3">
        <f t="shared" si="0"/>
        <v>27</v>
      </c>
      <c r="C29" s="2" t="s">
        <v>334</v>
      </c>
      <c r="D29" s="3" t="s">
        <v>337</v>
      </c>
      <c r="E29" s="3" t="s">
        <v>6</v>
      </c>
      <c r="F29" s="3" t="s">
        <v>338</v>
      </c>
      <c r="G29" s="3"/>
      <c r="H29" s="3"/>
      <c r="I29" s="3">
        <v>1940</v>
      </c>
      <c r="J29" s="3"/>
      <c r="K29" s="5" t="s">
        <v>335</v>
      </c>
      <c r="L29" s="7" t="s">
        <v>336</v>
      </c>
    </row>
    <row r="30" spans="2:12" x14ac:dyDescent="0.25">
      <c r="B30" s="3">
        <f t="shared" si="0"/>
        <v>28</v>
      </c>
      <c r="C30" s="2" t="s">
        <v>339</v>
      </c>
      <c r="D30" s="3" t="s">
        <v>340</v>
      </c>
      <c r="E30" s="3" t="s">
        <v>6</v>
      </c>
      <c r="F30" s="3" t="s">
        <v>341</v>
      </c>
      <c r="G30" s="3"/>
      <c r="H30" s="3"/>
      <c r="I30" s="3">
        <v>1941</v>
      </c>
      <c r="J30" s="3">
        <v>1942</v>
      </c>
      <c r="K30" s="5" t="s">
        <v>343</v>
      </c>
      <c r="L30" s="4" t="s">
        <v>342</v>
      </c>
    </row>
    <row r="31" spans="2:12" x14ac:dyDescent="0.25">
      <c r="B31" s="3">
        <f t="shared" si="0"/>
        <v>29</v>
      </c>
      <c r="C31" s="2" t="s">
        <v>346</v>
      </c>
      <c r="D31" s="3" t="s">
        <v>345</v>
      </c>
      <c r="E31" s="3" t="s">
        <v>6</v>
      </c>
      <c r="F31" s="3" t="s">
        <v>347</v>
      </c>
      <c r="G31" s="3"/>
      <c r="H31" s="3"/>
      <c r="I31" s="3">
        <v>1917</v>
      </c>
      <c r="J31" s="3">
        <v>1920</v>
      </c>
      <c r="K31" s="5" t="s">
        <v>344</v>
      </c>
      <c r="L31" s="4" t="s">
        <v>348</v>
      </c>
    </row>
    <row r="32" spans="2:12" x14ac:dyDescent="0.25">
      <c r="B32" s="3">
        <f t="shared" si="0"/>
        <v>30</v>
      </c>
      <c r="C32" s="2" t="s">
        <v>349</v>
      </c>
      <c r="D32" s="3" t="s">
        <v>350</v>
      </c>
      <c r="E32" s="3" t="s">
        <v>6</v>
      </c>
      <c r="F32" s="3" t="s">
        <v>351</v>
      </c>
      <c r="G32" s="3"/>
      <c r="H32" s="3"/>
      <c r="I32" s="3">
        <v>1960</v>
      </c>
      <c r="J32" s="3"/>
      <c r="K32" s="5" t="s">
        <v>352</v>
      </c>
      <c r="L32" s="7" t="s">
        <v>353</v>
      </c>
    </row>
    <row r="33" spans="2:12" x14ac:dyDescent="0.25">
      <c r="B33" s="3">
        <f t="shared" si="0"/>
        <v>31</v>
      </c>
      <c r="C33" s="2" t="s">
        <v>354</v>
      </c>
      <c r="D33" s="3" t="s">
        <v>355</v>
      </c>
      <c r="E33" s="3" t="s">
        <v>6</v>
      </c>
      <c r="F33" s="3" t="s">
        <v>356</v>
      </c>
      <c r="G33" s="3"/>
      <c r="H33" s="3"/>
      <c r="I33" s="3">
        <v>1963</v>
      </c>
      <c r="J33" s="3">
        <v>1965</v>
      </c>
      <c r="K33" s="5" t="s">
        <v>358</v>
      </c>
      <c r="L33" s="7" t="s">
        <v>357</v>
      </c>
    </row>
    <row r="34" spans="2:12" x14ac:dyDescent="0.25">
      <c r="B34" s="3">
        <f t="shared" si="0"/>
        <v>32</v>
      </c>
      <c r="C34" s="2" t="s">
        <v>359</v>
      </c>
      <c r="D34" s="3" t="s">
        <v>360</v>
      </c>
      <c r="E34" s="3" t="s">
        <v>6</v>
      </c>
      <c r="F34" s="3" t="s">
        <v>361</v>
      </c>
      <c r="G34" s="3"/>
      <c r="H34" s="3"/>
      <c r="I34" s="3">
        <v>1945</v>
      </c>
      <c r="J34" s="3"/>
      <c r="K34" s="5" t="s">
        <v>362</v>
      </c>
      <c r="L34" s="7" t="s">
        <v>363</v>
      </c>
    </row>
    <row r="35" spans="2:12" x14ac:dyDescent="0.25">
      <c r="B35" s="3">
        <f t="shared" si="0"/>
        <v>33</v>
      </c>
      <c r="C35" s="2" t="s">
        <v>364</v>
      </c>
      <c r="D35" s="3" t="s">
        <v>365</v>
      </c>
      <c r="E35" s="3" t="s">
        <v>6</v>
      </c>
      <c r="F35" s="3" t="s">
        <v>366</v>
      </c>
      <c r="G35" s="3"/>
      <c r="H35" s="3"/>
      <c r="I35" s="3">
        <v>1958</v>
      </c>
      <c r="J35" s="3"/>
      <c r="K35" s="5" t="s">
        <v>367</v>
      </c>
      <c r="L35" s="4" t="s">
        <v>368</v>
      </c>
    </row>
    <row r="36" spans="2:12" x14ac:dyDescent="0.25">
      <c r="B36" s="3">
        <f t="shared" si="0"/>
        <v>34</v>
      </c>
      <c r="C36" s="2" t="s">
        <v>51</v>
      </c>
      <c r="D36" s="3" t="s">
        <v>52</v>
      </c>
      <c r="E36" s="3" t="s">
        <v>6</v>
      </c>
      <c r="F36" s="3" t="s">
        <v>369</v>
      </c>
      <c r="G36" s="3"/>
      <c r="H36" s="3"/>
      <c r="I36" s="3">
        <v>1947</v>
      </c>
      <c r="J36" s="3">
        <v>1949</v>
      </c>
      <c r="K36" s="3" t="s">
        <v>56</v>
      </c>
      <c r="L36" s="4"/>
    </row>
    <row r="37" spans="2:12" x14ac:dyDescent="0.25">
      <c r="B37" s="3">
        <f t="shared" si="0"/>
        <v>35</v>
      </c>
      <c r="C37" s="2" t="s">
        <v>371</v>
      </c>
      <c r="D37" s="3" t="s">
        <v>370</v>
      </c>
      <c r="E37" s="3" t="s">
        <v>6</v>
      </c>
      <c r="F37" s="3" t="s">
        <v>372</v>
      </c>
      <c r="G37" s="3"/>
      <c r="H37" s="3"/>
      <c r="I37" s="3">
        <v>1968</v>
      </c>
      <c r="J37" s="3"/>
      <c r="K37" s="5" t="s">
        <v>373</v>
      </c>
      <c r="L37" s="4"/>
    </row>
    <row r="38" spans="2:12" x14ac:dyDescent="0.25">
      <c r="B38" s="3">
        <f t="shared" si="0"/>
        <v>36</v>
      </c>
      <c r="C38" s="2" t="s">
        <v>374</v>
      </c>
      <c r="D38" s="3" t="s">
        <v>376</v>
      </c>
      <c r="E38" s="3" t="s">
        <v>6</v>
      </c>
      <c r="F38" s="3" t="s">
        <v>375</v>
      </c>
      <c r="G38" s="3"/>
      <c r="H38" s="3"/>
      <c r="I38" s="3">
        <v>1876</v>
      </c>
      <c r="J38" s="3">
        <v>1887</v>
      </c>
      <c r="K38" s="5" t="s">
        <v>377</v>
      </c>
      <c r="L38" s="4" t="s">
        <v>378</v>
      </c>
    </row>
    <row r="39" spans="2:12" x14ac:dyDescent="0.25">
      <c r="B39" s="3">
        <f t="shared" si="0"/>
        <v>37</v>
      </c>
      <c r="C39" s="2" t="s">
        <v>379</v>
      </c>
      <c r="D39" s="3" t="s">
        <v>380</v>
      </c>
      <c r="E39" s="3" t="s">
        <v>6</v>
      </c>
      <c r="F39" s="3" t="s">
        <v>381</v>
      </c>
      <c r="G39" s="3"/>
      <c r="H39" s="3"/>
      <c r="I39" s="3">
        <v>1966</v>
      </c>
      <c r="J39" s="3">
        <v>1968</v>
      </c>
      <c r="K39" s="5" t="s">
        <v>382</v>
      </c>
      <c r="L39" s="4" t="s">
        <v>383</v>
      </c>
    </row>
    <row r="40" spans="2:12" x14ac:dyDescent="0.25">
      <c r="B40" s="3">
        <f t="shared" si="0"/>
        <v>38</v>
      </c>
      <c r="C40" s="2" t="s">
        <v>385</v>
      </c>
      <c r="D40" s="3" t="s">
        <v>386</v>
      </c>
      <c r="E40" s="3" t="s">
        <v>6</v>
      </c>
      <c r="F40" s="3" t="s">
        <v>384</v>
      </c>
      <c r="G40" s="3"/>
      <c r="H40" s="3"/>
      <c r="I40" s="3">
        <v>1970</v>
      </c>
      <c r="J40" s="3"/>
      <c r="K40" s="5" t="s">
        <v>387</v>
      </c>
      <c r="L40" s="4" t="s">
        <v>388</v>
      </c>
    </row>
    <row r="41" spans="2:12" x14ac:dyDescent="0.25">
      <c r="B41" s="3">
        <f t="shared" si="0"/>
        <v>39</v>
      </c>
      <c r="C41" s="2" t="s">
        <v>390</v>
      </c>
      <c r="D41" s="3" t="s">
        <v>389</v>
      </c>
      <c r="E41" s="3" t="s">
        <v>6</v>
      </c>
      <c r="F41" s="3" t="s">
        <v>391</v>
      </c>
      <c r="G41" s="3"/>
      <c r="H41" s="3"/>
      <c r="I41" s="3">
        <v>1958</v>
      </c>
      <c r="J41" s="3">
        <v>1960</v>
      </c>
      <c r="K41" s="5" t="s">
        <v>393</v>
      </c>
      <c r="L41" s="4" t="s">
        <v>392</v>
      </c>
    </row>
    <row r="42" spans="2:12" x14ac:dyDescent="0.25">
      <c r="B42" s="3">
        <f t="shared" si="0"/>
        <v>40</v>
      </c>
      <c r="C42" s="2" t="s">
        <v>394</v>
      </c>
      <c r="D42" s="3" t="s">
        <v>395</v>
      </c>
      <c r="E42" s="3" t="s">
        <v>6</v>
      </c>
      <c r="F42" s="3" t="s">
        <v>396</v>
      </c>
      <c r="G42" s="3"/>
      <c r="H42" s="3"/>
      <c r="I42" s="3">
        <v>1962</v>
      </c>
      <c r="J42" s="3"/>
      <c r="K42" s="5" t="s">
        <v>397</v>
      </c>
      <c r="L42" s="4" t="s">
        <v>398</v>
      </c>
    </row>
    <row r="43" spans="2:12" x14ac:dyDescent="0.25">
      <c r="B43" s="3">
        <f t="shared" si="0"/>
        <v>41</v>
      </c>
      <c r="C43" s="2" t="s">
        <v>399</v>
      </c>
      <c r="D43" s="3" t="s">
        <v>400</v>
      </c>
      <c r="E43" s="3" t="s">
        <v>6</v>
      </c>
      <c r="F43" s="3" t="s">
        <v>401</v>
      </c>
      <c r="G43" s="3"/>
      <c r="H43" s="3"/>
      <c r="I43" s="3">
        <v>1960</v>
      </c>
      <c r="J43" s="3">
        <v>1964</v>
      </c>
      <c r="K43" s="5" t="s">
        <v>402</v>
      </c>
      <c r="L43" s="4" t="s">
        <v>403</v>
      </c>
    </row>
    <row r="44" spans="2:12" x14ac:dyDescent="0.25">
      <c r="B44" s="3">
        <f t="shared" si="0"/>
        <v>42</v>
      </c>
      <c r="C44" s="2"/>
      <c r="D44" s="3"/>
      <c r="E44" s="3" t="s">
        <v>6</v>
      </c>
      <c r="F44" s="3"/>
      <c r="G44" s="3"/>
      <c r="H44" s="3"/>
      <c r="I44" s="3"/>
      <c r="J44" s="3"/>
      <c r="K44" s="5"/>
      <c r="L44" s="4"/>
    </row>
    <row r="45" spans="2:12" x14ac:dyDescent="0.25">
      <c r="B45" s="3">
        <f t="shared" si="0"/>
        <v>43</v>
      </c>
      <c r="C45" s="2"/>
      <c r="D45" s="3"/>
      <c r="E45" s="3" t="s">
        <v>6</v>
      </c>
      <c r="F45" s="3"/>
      <c r="G45" s="3"/>
      <c r="H45" s="3"/>
      <c r="I45" s="3"/>
      <c r="J45" s="3"/>
      <c r="K45" s="5"/>
      <c r="L45" s="4"/>
    </row>
    <row r="46" spans="2:12" x14ac:dyDescent="0.25">
      <c r="B46" s="3">
        <f t="shared" si="0"/>
        <v>44</v>
      </c>
      <c r="C46" s="2"/>
      <c r="D46" s="3"/>
      <c r="E46" s="3" t="s">
        <v>6</v>
      </c>
      <c r="F46" s="3"/>
      <c r="G46" s="3"/>
      <c r="H46" s="3"/>
      <c r="I46" s="3"/>
      <c r="J46" s="3"/>
      <c r="K46" s="5"/>
      <c r="L46" s="4"/>
    </row>
  </sheetData>
  <hyperlinks>
    <hyperlink ref="F3" r:id="rId1" display="https://geohack.toolforge.org/geohack.php?pagename=Argonne_National_Laboratory&amp;params=41.709166_N_87.981992_W_region:US_type:landmark" xr:uid="{C3334F8C-FC2B-4187-8B68-D43D5095133D}"/>
    <hyperlink ref="K4" r:id="rId2" location="History" xr:uid="{09BBB3ED-4E43-4274-B466-41F2B3F702CF}"/>
    <hyperlink ref="K7" r:id="rId3" xr:uid="{DFC1F1FC-B8E6-4F2F-A503-2606343164BF}"/>
    <hyperlink ref="K8" r:id="rId4" xr:uid="{B576CC38-62D6-4265-9D88-774E58E67DD0}"/>
    <hyperlink ref="K12" r:id="rId5" location="History" xr:uid="{EAD6F4D1-4C9A-42D1-BF5D-7E62B03AF873}"/>
    <hyperlink ref="K14" r:id="rId6" xr:uid="{6530C6B1-FD27-46DD-B7AC-B159956BDBA7}"/>
    <hyperlink ref="L15" r:id="rId7" xr:uid="{40BE28A5-ECE8-49C7-A423-2D11AF74AE62}"/>
    <hyperlink ref="K16" r:id="rId8" xr:uid="{2AA2106D-8252-474B-BE61-61D145802FD4}"/>
    <hyperlink ref="K17" r:id="rId9" xr:uid="{A5A48C04-C32E-4598-980B-7FA7C9A36B70}"/>
    <hyperlink ref="K18" r:id="rId10" xr:uid="{0AC35301-4FD6-40A8-B21C-AFC772455453}"/>
    <hyperlink ref="K19" r:id="rId11" xr:uid="{5E56A7D4-1436-4404-BB6D-23E19BC8503C}"/>
    <hyperlink ref="K20" r:id="rId12" xr:uid="{AB765265-6D67-4275-BA7E-7D4E2E7253AB}"/>
    <hyperlink ref="K22" r:id="rId13" xr:uid="{8115ED2E-5B0F-43C8-8F97-B2F642B04CB6}"/>
    <hyperlink ref="K23" r:id="rId14" xr:uid="{B5B291BC-1D61-4ADB-B7BD-A4E623603F9D}"/>
    <hyperlink ref="K25" r:id="rId15" xr:uid="{0C4AB37F-12AE-411C-AC15-FB931B6246C3}"/>
    <hyperlink ref="K26" r:id="rId16" xr:uid="{B2ACA93D-4588-4B40-B8DC-F62E5B13DD6A}"/>
    <hyperlink ref="K27" r:id="rId17" xr:uid="{AA9FFFB0-4906-46CF-A22A-FADDD2F34721}"/>
    <hyperlink ref="L27" r:id="rId18" xr:uid="{182E4BC3-9AF2-420E-9BDD-C680951B9D2F}"/>
    <hyperlink ref="L29" r:id="rId19" xr:uid="{65C8FCFC-1061-4A9F-BA23-30470B14CF8F}"/>
    <hyperlink ref="K31" r:id="rId20" xr:uid="{1019D8DD-57E8-4728-9357-F9CE09B10B06}"/>
    <hyperlink ref="L32" r:id="rId21" xr:uid="{592B60D8-D07E-42AC-AF8E-04BFC9DAF550}"/>
    <hyperlink ref="L33" r:id="rId22" xr:uid="{1ECE4510-CD16-4CF0-978C-ACD1A4BD3F9B}"/>
    <hyperlink ref="K33" r:id="rId23" xr:uid="{67E894C3-163D-4569-B4EE-464F08CA201F}"/>
    <hyperlink ref="K34" r:id="rId24" location="History" xr:uid="{3FDC4D25-8BDF-4489-8A21-BFEF0E313F47}"/>
    <hyperlink ref="L34" r:id="rId25" xr:uid="{AFD5D20A-83B8-414C-A5DF-BAAA23C39F02}"/>
    <hyperlink ref="K35" r:id="rId26" xr:uid="{5DBB6962-9662-4081-BA7E-71B2DA3A77A8}"/>
    <hyperlink ref="K37" r:id="rId27" xr:uid="{F606B5E2-6CA2-4E14-849C-1D89315E5016}"/>
    <hyperlink ref="K38" r:id="rId28" xr:uid="{F9738C3A-DDFD-4F90-B5EF-A37693258F79}"/>
    <hyperlink ref="K39" r:id="rId29" xr:uid="{E637D79B-21CC-4113-974D-A701A70BD3BD}"/>
    <hyperlink ref="K40" r:id="rId30" xr:uid="{2FA50574-541B-4F6F-923A-2CB0950D79FF}"/>
    <hyperlink ref="K41" r:id="rId31" xr:uid="{576B587C-8D64-47A4-8988-6822870BE4E4}"/>
    <hyperlink ref="K42" r:id="rId32" xr:uid="{347C5869-D821-49C8-82E0-EDF9ECBBD903}"/>
    <hyperlink ref="K43" r:id="rId33" xr:uid="{C9447FD3-C34C-4241-B441-D641586C33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</vt:lpstr>
      <vt:lpstr>full</vt:lpstr>
      <vt:lpstr>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Mattos</cp:lastModifiedBy>
  <dcterms:created xsi:type="dcterms:W3CDTF">2026-01-26T19:45:58Z</dcterms:created>
  <dcterms:modified xsi:type="dcterms:W3CDTF">2026-02-05T20:47:10Z</dcterms:modified>
</cp:coreProperties>
</file>